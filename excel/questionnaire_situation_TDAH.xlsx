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dui\OneDrive\Bureau\Présentation TDAH\"/>
    </mc:Choice>
  </mc:AlternateContent>
  <xr:revisionPtr revIDLastSave="0" documentId="13_ncr:1_{43D6A59A-B0DE-4F19-88B2-8B181568B6E5}" xr6:coauthVersionLast="47" xr6:coauthVersionMax="47" xr10:uidLastSave="{00000000-0000-0000-0000-000000000000}"/>
  <bookViews>
    <workbookView xWindow="-108" yWindow="-108" windowWidth="23256" windowHeight="12456" tabRatio="500" firstSheet="4" activeTab="7" xr2:uid="{00000000-000D-0000-FFFF-FFFF00000000}"/>
  </bookViews>
  <sheets>
    <sheet name="A_Inattention" sheetId="1" r:id="rId1"/>
    <sheet name="B_HyperImpuls" sheetId="2" r:id="rId2"/>
    <sheet name="C_Devoirs" sheetId="3" r:id="rId3"/>
    <sheet name="D_Réactions_confrontation" sheetId="4" r:id="rId4"/>
    <sheet name="E_Impact" sheetId="5" r:id="rId5"/>
    <sheet name="Synthèse" sheetId="6" r:id="rId6"/>
    <sheet name="Interprétation" sheetId="7" r:id="rId7"/>
    <sheet name="Ressources de l'élève" sheetId="8" r:id="rId8"/>
    <sheet name="Intervention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6" l="1"/>
  <c r="G15" i="6" s="1"/>
  <c r="B15" i="6"/>
  <c r="D15" i="6" s="1"/>
  <c r="E14" i="6"/>
  <c r="G14" i="6" s="1"/>
  <c r="B14" i="6"/>
  <c r="D14" i="6" s="1"/>
  <c r="D8" i="5"/>
  <c r="E10" i="6" s="1"/>
  <c r="G10" i="6" s="1"/>
  <c r="C8" i="5"/>
  <c r="B10" i="6" s="1"/>
  <c r="D10" i="6" s="1"/>
  <c r="D15" i="4"/>
  <c r="E17" i="6" s="1"/>
  <c r="G17" i="6" s="1"/>
  <c r="C15" i="4"/>
  <c r="B17" i="6" s="1"/>
  <c r="D17" i="6" s="1"/>
  <c r="D14" i="3"/>
  <c r="E16" i="6" s="1"/>
  <c r="G16" i="6" s="1"/>
  <c r="C14" i="3"/>
  <c r="B16" i="6" s="1"/>
  <c r="D16" i="6" s="1"/>
  <c r="D13" i="2"/>
  <c r="E9" i="6" s="1"/>
  <c r="G9" i="6" s="1"/>
  <c r="C13" i="2"/>
  <c r="B9" i="6" s="1"/>
  <c r="D9" i="6" s="1"/>
  <c r="D16" i="1"/>
  <c r="E8" i="6" s="1"/>
  <c r="G8" i="6" s="1"/>
  <c r="C16" i="1"/>
  <c r="B8" i="6" s="1"/>
  <c r="D8" i="6" s="1"/>
  <c r="B5" i="9"/>
  <c r="B4" i="9"/>
  <c r="B3" i="9"/>
  <c r="C25" i="6" l="1"/>
  <c r="C15" i="9"/>
  <c r="B25" i="6"/>
  <c r="B15" i="9"/>
  <c r="C24" i="6"/>
  <c r="C14" i="9"/>
  <c r="B14" i="9"/>
  <c r="B24" i="6"/>
  <c r="C23" i="6"/>
  <c r="C13" i="9"/>
  <c r="B23" i="6"/>
  <c r="B13" i="9"/>
  <c r="C26" i="6"/>
  <c r="C16" i="9"/>
  <c r="B26" i="6"/>
  <c r="B16" i="9"/>
  <c r="C22" i="6"/>
  <c r="C12" i="9"/>
  <c r="B22" i="6"/>
  <c r="B12" i="9"/>
  <c r="C21" i="6"/>
  <c r="C11" i="9"/>
  <c r="B21" i="6"/>
  <c r="B11" i="9"/>
  <c r="C20" i="6"/>
  <c r="C10" i="9"/>
  <c r="B20" i="6"/>
  <c r="B10" i="9"/>
</calcChain>
</file>

<file path=xl/sharedStrings.xml><?xml version="1.0" encoding="utf-8"?>
<sst xmlns="http://schemas.openxmlformats.org/spreadsheetml/2006/main" count="304" uniqueCount="217">
  <si>
    <t>INATTENTION</t>
  </si>
  <si>
    <t>0 = Jamais | 1 = Parfois | 2 = Souvent | 3 = Très souvent</t>
  </si>
  <si>
    <t>Evaluation 1</t>
  </si>
  <si>
    <t>Evaluation 2</t>
  </si>
  <si>
    <t>Item</t>
  </si>
  <si>
    <t>Énoncé</t>
  </si>
  <si>
    <t>Valeur (0–3)</t>
  </si>
  <si>
    <t>Valeur (0-3)</t>
  </si>
  <si>
    <t>A1</t>
  </si>
  <si>
    <t>Fait des erreurs d’inattention dans les travaux longs ou complexes (contrôles, devoirs, projets).</t>
  </si>
  <si>
    <t>A2</t>
  </si>
  <si>
    <t>A de la difficulté à maintenir son attention sur une tâche scolaire.</t>
  </si>
  <si>
    <t>A3</t>
  </si>
  <si>
    <t>Semble ne pas écouter quand on lui parle directement.</t>
  </si>
  <si>
    <t>A4</t>
  </si>
  <si>
    <t>Ne termine pas ses travaux ou devoirs malgré des capacités suffisantes.</t>
  </si>
  <si>
    <t>A5</t>
  </si>
  <si>
    <t>A des difficultés à planifier, organiser ou répartir son travail.</t>
  </si>
  <si>
    <t>A6</t>
  </si>
  <si>
    <t>A de la difficulté à commencer une tâche (devoirs, travail, révisions), ce qui le/la met souvent en décalage.</t>
  </si>
  <si>
    <t>A7</t>
  </si>
  <si>
    <t>Perd fréquemment le matériel nécessaire au travail scolaire malgré les stratégies mises en place pour l’aider.</t>
  </si>
  <si>
    <t>A8</t>
  </si>
  <si>
    <t>Se laisse facilement distraire par l’environnement ou le numérique.</t>
  </si>
  <si>
    <t>A9</t>
  </si>
  <si>
    <t>Oublie des devoirs, échéances ou consignes.</t>
  </si>
  <si>
    <t>A10</t>
  </si>
  <si>
    <t>Évite ou repousse les tâches demandant un effort mental soutenu.</t>
  </si>
  <si>
    <t>Total catégorie</t>
  </si>
  <si>
    <t>HYPERACTIVITE-IMPULSIVITE</t>
  </si>
  <si>
    <t>B11</t>
  </si>
  <si>
    <t>Bouge souvent les mains, les pieds ou se balance sur sa chaise.</t>
  </si>
  <si>
    <t>B12</t>
  </si>
  <si>
    <t>A du mal à rester assis longtemps.</t>
  </si>
  <si>
    <t>B13</t>
  </si>
  <si>
    <t>Se lève ou se déplace à des moments inappropriés.</t>
  </si>
  <si>
    <t>B14</t>
  </si>
  <si>
    <t>Ressent une agitation intérieure ou une impatience constante.</t>
  </si>
  <si>
    <t>B15</t>
  </si>
  <si>
    <t>Parle excessivement ou dans des situations inappropriées.</t>
  </si>
  <si>
    <t>B16</t>
  </si>
  <si>
    <t>Répond avant la fin des questions.</t>
  </si>
  <si>
    <t>B17</t>
  </si>
  <si>
    <t>A du mal à attendre son tour.</t>
  </si>
  <si>
    <t>B18</t>
  </si>
  <si>
    <t>Interrompt souvent les autres.</t>
  </si>
  <si>
    <t>DEVOIRS</t>
  </si>
  <si>
    <t>C19</t>
  </si>
  <si>
    <t>Met beaucoup de temps à commencer ses devoirs sans aide.</t>
  </si>
  <si>
    <t>C20</t>
  </si>
  <si>
    <t>A besoin d’une présence constante pour rester au travail.</t>
  </si>
  <si>
    <t>C21</t>
  </si>
  <si>
    <t>Les devoirs provoquent des tensions ou conflits à la maison.</t>
  </si>
  <si>
    <t>C22</t>
  </si>
  <si>
    <t>Se décourage rapidement face aux devoirs longs ou difficiles.</t>
  </si>
  <si>
    <t>C23</t>
  </si>
  <si>
    <t>Oublie ou ne rend pas des devoirs pourtant faits.</t>
  </si>
  <si>
    <t>C24</t>
  </si>
  <si>
    <t>Travaille de manière très irrégulière (proportionnellement à l'intérêt).</t>
  </si>
  <si>
    <t>C25</t>
  </si>
  <si>
    <t>A du mal à gérer le temps nécessaire aux devoirs.</t>
  </si>
  <si>
    <t>C26</t>
  </si>
  <si>
    <t>Procrastine presque systématiquement.</t>
  </si>
  <si>
    <t>C27</t>
  </si>
  <si>
    <t>Se fatigue mentalement très vite pendant les devoirs.</t>
  </si>
  <si>
    <t>Réactions de confrontation (contexte scolaire)</t>
  </si>
  <si>
    <t>RC1</t>
  </si>
  <si>
    <t>Refuse ou conteste une consigne lorsqu’elle est perçue comme trop difficile.</t>
  </si>
  <si>
    <t>RC2</t>
  </si>
  <si>
    <t>Réagit avec colère, opposition ou provocation après un échec ou une remarque.</t>
  </si>
  <si>
    <t>RC3</t>
  </si>
  <si>
    <t>Entre en négociation excessive ou en marchandage pour éviter une tâche.</t>
  </si>
  <si>
    <t>RC4</t>
  </si>
  <si>
    <t>Adopte une attitude de défi ou de confrontation envers l’adulte.</t>
  </si>
  <si>
    <t>RC5</t>
  </si>
  <si>
    <t>Se désengage volontairement de la tâche (silence, immobilité, refus d’écrire ou de parler).</t>
  </si>
  <si>
    <t>RC6</t>
  </si>
  <si>
    <t>Attribue la responsabilité de la situation à l’adulte ou au cadre scolaire.</t>
  </si>
  <si>
    <t>RC7</t>
  </si>
  <si>
    <t>Refuse ou rejette l’aide proposée lorsqu’une tâche devient difficile.</t>
  </si>
  <si>
    <t>RC8</t>
  </si>
  <si>
    <t>A des difficultés à se calmer après un conflit ou une montée émotionnelle.</t>
  </si>
  <si>
    <t>RC9</t>
  </si>
  <si>
    <t>A des difficultés à reprendre une tâche après une pause ou un temps de régulation.</t>
  </si>
  <si>
    <t>RC10</t>
  </si>
  <si>
    <t>A des difficultés à réparer la relation après un conflit (excuses, reprise du lien).</t>
  </si>
  <si>
    <t>Total – Réactions de confrontation</t>
  </si>
  <si>
    <t>IMPACT</t>
  </si>
  <si>
    <t>D28</t>
  </si>
  <si>
    <t>Les difficultés ont un impact sur les résultats scolaires.</t>
  </si>
  <si>
    <t>D29</t>
  </si>
  <si>
    <t>Elles affectent la relation avec les enseignants.</t>
  </si>
  <si>
    <t>D30</t>
  </si>
  <si>
    <t>Elles génèrent du stress, une démotivation ou une baisse d’estime de soi.</t>
  </si>
  <si>
    <t>Synthèse des scores</t>
  </si>
  <si>
    <t>Nom de l’élève</t>
  </si>
  <si>
    <t>Évaluateur</t>
  </si>
  <si>
    <t>Classe</t>
  </si>
  <si>
    <t>Date</t>
  </si>
  <si>
    <t xml:space="preserve">Evaluation 1 :                            Evaluation 2 :             </t>
  </si>
  <si>
    <t>Catégorie</t>
  </si>
  <si>
    <t>Total</t>
  </si>
  <si>
    <t>Max</t>
  </si>
  <si>
    <t>Pourcentage</t>
  </si>
  <si>
    <t>Inattention</t>
  </si>
  <si>
    <t>Hyper/Impulsivité</t>
  </si>
  <si>
    <t>Impact</t>
  </si>
  <si>
    <t>Sous-scores (fonctions exécutives et réactions)</t>
  </si>
  <si>
    <t>Activation</t>
  </si>
  <si>
    <t>Organisation</t>
  </si>
  <si>
    <t>Devoirs</t>
  </si>
  <si>
    <t>Réactions de confrontation</t>
  </si>
  <si>
    <t>Dimension</t>
  </si>
  <si>
    <t xml:space="preserve">   </t>
  </si>
  <si>
    <t>Interprétation – outil de repérage (usage éducatif, non diagnostique)</t>
  </si>
  <si>
    <t>Seuils indicatifs (à adapter selon le contexte)</t>
  </si>
  <si>
    <t>Faible</t>
  </si>
  <si>
    <t>Modéré</t>
  </si>
  <si>
    <t>Élevé</t>
  </si>
  <si>
    <t>Actions pédagogiques prioritaires</t>
  </si>
  <si>
    <t>Inattention (0–30)</t>
  </si>
  <si>
    <t>0–9</t>
  </si>
  <si>
    <t>10–17</t>
  </si>
  <si>
    <t>≥18</t>
  </si>
  <si>
    <t>Activation, fractionnement, guidage du démarrage, aides visuelles</t>
  </si>
  <si>
    <t>Hyper/Impulsivité (0–24)</t>
  </si>
  <si>
    <t>0–7</t>
  </si>
  <si>
    <t>8–13</t>
  </si>
  <si>
    <t>≥14</t>
  </si>
  <si>
    <t>Pauses motrices, contrat de classe, prévention, canaliser l’énergie</t>
  </si>
  <si>
    <t>Devoirs (0–27)</t>
  </si>
  <si>
    <t>0–8</t>
  </si>
  <si>
    <t>9–15</t>
  </si>
  <si>
    <t>≥16</t>
  </si>
  <si>
    <t>Ritualiser, alléger, structurer, planifier, feedback court</t>
  </si>
  <si>
    <t>Impact (0–9)</t>
  </si>
  <si>
    <t>0–2</t>
  </si>
  <si>
    <t>3–5</t>
  </si>
  <si>
    <t>≥6</t>
  </si>
  <si>
    <t>Coordination école–famille–réseau, soutien émotionnel</t>
  </si>
  <si>
    <t>Activation (0–12)</t>
  </si>
  <si>
    <t>0–3</t>
  </si>
  <si>
    <t>4–7</t>
  </si>
  <si>
    <t>≥8</t>
  </si>
  <si>
    <t>Micro-objectifs, minuteur, démarrage guidé, renforcement</t>
  </si>
  <si>
    <t>Organisation (0–15)</t>
  </si>
  <si>
    <t>0–4</t>
  </si>
  <si>
    <t>5–9</t>
  </si>
  <si>
    <t>≥10</t>
  </si>
  <si>
    <t>Checklists, routines, organisation matériel, agenda</t>
  </si>
  <si>
    <t>Réactions confrontation (0-30)</t>
  </si>
  <si>
    <t>0-9</t>
  </si>
  <si>
    <t>10-19</t>
  </si>
  <si>
    <t>≥20</t>
  </si>
  <si>
    <t>Voir Checklist dans feuille "Intervention"</t>
  </si>
  <si>
    <t>Lecture transversale</t>
  </si>
  <si>
    <t>• A et/ou B élevés + D élevé : repérage fort → adaptations immédiates + discussion réseau.</t>
  </si>
  <si>
    <t>• C élevé isolé : difficulté d’autonomie / organisation / contexte familial → plan devoirs.</t>
  </si>
  <si>
    <t>• D : Score faible : réactions ponctuelles, souvent liées au contexte ou à la fatigue. / Score modéré : réactions fréquentes nécessitant des ajustements pédagogiques et relationnels. / Score élevé : difficultés marquées d’autorégulation dans les situations de contrainte.</t>
  </si>
  <si>
    <t>• Toujours rechercher : difficultés d’apprentissage, anxiété, sommeil, stress, dynamique relationnelle.</t>
  </si>
  <si>
    <t>Ressources et capacités de régulation de l’élève</t>
  </si>
  <si>
    <t>Cette feuille vise à identifier les ressources, compétences et capacités de régulation émotionnelle, comportementale et cognitive de l’élève afin de soutenir l’intervention. La présence d’une ressource, même partielle ou contextuelle, constitue un levier d’évolution.</t>
  </si>
  <si>
    <t>Domaine</t>
  </si>
  <si>
    <t>Capacité / ressource observée</t>
  </si>
  <si>
    <t>Présence (0–3)</t>
  </si>
  <si>
    <t>Commentaires / exemples</t>
  </si>
  <si>
    <t>Régulation émotionnelle</t>
  </si>
  <si>
    <t>Peut retrouver le calme après un temps de pause ou avec aide.</t>
  </si>
  <si>
    <t>Peut se calmer après un délai (même long) sans escalader davantage.</t>
  </si>
  <si>
    <t>Accepte une pause proposée ou un changement de rythme.</t>
  </si>
  <si>
    <t>Identifie ses émotions ou signaux de débordement (même après coup).</t>
  </si>
  <si>
    <t>Peut utiliser un outil apaisant (respiration, objet, musique, coin calme) lorsqu’il/elle y est invité(e).</t>
  </si>
  <si>
    <t>Peut demander de l’aide ou un temps de pause avant de “déborder” (même rarement).</t>
  </si>
  <si>
    <t>Régulation comportementale</t>
  </si>
  <si>
    <t>Accepte une médiation adulte lors d’un conflit.</t>
  </si>
  <si>
    <t>Peut différer une réaction (attendre, respirer, se lever) avec aide.</t>
  </si>
  <si>
    <t>Parvient à reprendre une activité après désescalade.</t>
  </si>
  <si>
    <t>Parvient à réparer la relation après un conflit (excuses, reprise du lien) avec guidance.</t>
  </si>
  <si>
    <t>Suit une consigne après reformulation / clarification (2e essai).</t>
  </si>
  <si>
    <t>Métacognition</t>
  </si>
  <si>
    <t>Reconnaît après coup ce qui a déclenché la difficulté (tâche, fatigue, injustice perçue, bruit…).</t>
  </si>
  <si>
    <t>Peut dire ce qui l’aide / ce qui le gêne (même de façon simple).</t>
  </si>
  <si>
    <t>Accepte un bref retour réflexif (débrief 1–2 min) après une situation difficile.</t>
  </si>
  <si>
    <t>Peut anticiper une situation à risque et accepter une stratégie préventive.</t>
  </si>
  <si>
    <t>Fonctions exécutives</t>
  </si>
  <si>
    <t>Peut se mettre au travail lorsque le démarrage est guidé.</t>
  </si>
  <si>
    <t>Maintient l’effort sur un temps court et structuré.</t>
  </si>
  <si>
    <t>Accepte le fractionnement de la tâche et les micro-objectifs.</t>
  </si>
  <si>
    <t>Bénéficie d’un minuteur / d’un temps visible pour tenir l’effort.</t>
  </si>
  <si>
    <t>Utilise ou accepte des supports visuels (checklist, plan, surlignage, étapes).</t>
  </si>
  <si>
    <t>Peut revenir à la tâche après une distraction si on le/la relance calmement.</t>
  </si>
  <si>
    <t>Relationnel</t>
  </si>
  <si>
    <t>Réagit positivement à une relation adulte sécurisante (calme, constance, respect).</t>
  </si>
  <si>
    <t>Accepte l’aide ou les encouragements quand la relation est de confiance.</t>
  </si>
  <si>
    <t>Peut coopérer en dyade / petit groupe mieux qu’en grand groupe.</t>
  </si>
  <si>
    <t>Cherche le lien après un conflit (regard, proximité, tentative de réparation).</t>
  </si>
  <si>
    <t>Motivation / intérêts</t>
  </si>
  <si>
    <t>S’engage davantage lorsque la tâche a du sens pour lui/elle.</t>
  </si>
  <si>
    <t>Réagit positivement à la valorisation des efforts (renforcement, feedback).</t>
  </si>
  <si>
    <t>Peut se concentrer longtemps sur un intérêt spécifique (hyperfocus) — à mobiliser pédagogiquement.</t>
  </si>
  <si>
    <t>Se montre motivé(e) par des objectifs concrets et proches (défis courts, progression visible).</t>
  </si>
  <si>
    <t>Environnement / cadre</t>
  </si>
  <si>
    <t>Bénéficie d’un cadre clair et prévisible (routines, règles stables).</t>
  </si>
  <si>
    <t>Bénéficie de pauses ou d’ajustements environnementaux (place, bruit, matériel).</t>
  </si>
  <si>
    <t>Bénéficie d’un adulte “référent” ou d’un point d’ancrage relationnel.</t>
  </si>
  <si>
    <t>Autres ressources personnalisées (à compléter)</t>
  </si>
  <si>
    <t>Document de synthèse-suivi-décisions-intervention</t>
  </si>
  <si>
    <t>Participants (rôle)</t>
  </si>
  <si>
    <t>Contexte / forces / déclencheurs</t>
  </si>
  <si>
    <t>Scores</t>
  </si>
  <si>
    <t>Outil de prévention et de régulation (non disciplinaire)
🧠 AVANT la tâche (prévenir)
☐ Consigne courte, claire, donnée une seule fois
☐ Tâche fractionnée (1 objectif à la fois)
☐ Quantité réduite (niveau inchangé)
☐ Choix cadré proposé (A ou B)
☐ Temps de travail limité et visible (minuteur)
▶️ DÉMARRAGE (clé)
☐ Démarrage guidé (1re étape faite avec l’adulte)
☐ Vérification rapide de la compréhension
☐ Objectif atteignable annoncé
☐ Valorisation de l’entrée dans la tâche (pas du résultat)
⚠️ SIGNAUX D’ALERTE (intervenir tôt)
☐ Agitation / négociation / évitement repérés
☐ Pause anticipée proposée (sans justification)
☐ Voix calme, posture basse
☐ Interaction discrète (pas publique)
🔥 EN CAS DE MONTÉE
☐ Sortie de la tâche avant l’explosion
☐ Pas de rapport de force
☐ Pas de sanction à chaud
☐ L’adulte co-régule (prête son calme)
🧩 APRÈS (réparer)
☐ Retour au calme avant toute exigence
☐ Réparation guidée (faits, pas intention)
☐ Reprise partielle de la tâche si possible
☐ Valorisation du retour au calme / de l’effort
🚫 À ÉVITER (toujours)
☐ Ironie / défi / bras de fer
☐ Multiplication des rappels verbaux
☐ Punition immédiate
☐ Moralisation</t>
  </si>
  <si>
    <t>Stratégies relationnelles</t>
  </si>
  <si>
    <t xml:space="preserve">Hypothèses / besoins prioritaires </t>
  </si>
  <si>
    <t>Responsables &amp; échéance</t>
  </si>
  <si>
    <t>Aménagements décidés en classe</t>
  </si>
  <si>
    <t>Indicateurs de progrès (observables)</t>
  </si>
  <si>
    <t>Références : DSM-5-TR (APA, 2022) ; Conners 3 ; Barkley (fonctions exécutives) ; Gaudreau &amp; Nadeau (fonctionnement scolaire)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</si>
</sst>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4"/>
      <name val="Calibri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4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rgb="FFD7E4BD"/>
      </patternFill>
    </fill>
    <fill>
      <patternFill patternType="solid">
        <fgColor theme="8" tint="0.59987182226020086"/>
        <bgColor rgb="FFC6D9F1"/>
      </patternFill>
    </fill>
    <fill>
      <patternFill patternType="solid">
        <fgColor theme="3" tint="0.59987182226020086"/>
        <bgColor rgb="FF95B3D7"/>
      </patternFill>
    </fill>
    <fill>
      <patternFill patternType="solid">
        <fgColor theme="4" tint="0.79989013336588644"/>
        <bgColor rgb="FFDBEEF4"/>
      </patternFill>
    </fill>
    <fill>
      <patternFill patternType="solid">
        <fgColor theme="4" tint="0.39988402966399123"/>
        <bgColor rgb="FF8EB4E3"/>
      </patternFill>
    </fill>
    <fill>
      <patternFill patternType="solid">
        <fgColor theme="4" tint="0.59987182226020086"/>
        <bgColor rgb="FFC6D9F1"/>
      </patternFill>
    </fill>
    <fill>
      <patternFill patternType="solid">
        <fgColor theme="8" tint="0.79989013336588644"/>
        <bgColor rgb="FFDCE6F2"/>
      </patternFill>
    </fill>
    <fill>
      <patternFill patternType="solid">
        <fgColor theme="9" tint="0.79989013336588644"/>
        <bgColor rgb="FFFCE5CD"/>
      </patternFill>
    </fill>
    <fill>
      <patternFill patternType="solid">
        <fgColor theme="2"/>
        <bgColor rgb="FFF2F2F2"/>
      </patternFill>
    </fill>
    <fill>
      <patternFill patternType="solid">
        <fgColor rgb="FFF2F2F2"/>
        <bgColor rgb="FFEEECE1"/>
      </patternFill>
    </fill>
    <fill>
      <patternFill patternType="solid">
        <fgColor theme="6" tint="0.59987182226020086"/>
        <bgColor rgb="FFD9D9D9"/>
      </patternFill>
    </fill>
    <fill>
      <patternFill patternType="solid">
        <fgColor theme="3" tint="0.79989013336588644"/>
        <bgColor rgb="FFB7DEE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9" fontId="1" fillId="9" borderId="1" xfId="0" applyNumberFormat="1" applyFont="1" applyFill="1" applyBorder="1" applyAlignment="1" applyProtection="1">
      <alignment horizontal="center" vertical="center"/>
      <protection locked="0"/>
    </xf>
    <xf numFmtId="9" fontId="1" fillId="8" borderId="1" xfId="0" applyNumberFormat="1" applyFont="1" applyFill="1" applyBorder="1" applyAlignment="1" applyProtection="1">
      <alignment horizontal="center" vertical="center"/>
      <protection locked="0"/>
    </xf>
    <xf numFmtId="0" fontId="4" fillId="6" borderId="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3" borderId="1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2" fillId="7" borderId="3" xfId="0" applyFont="1" applyFill="1" applyBorder="1" applyAlignment="1" applyProtection="1">
      <alignment horizontal="center" vertical="center"/>
      <protection locked="0"/>
    </xf>
    <xf numFmtId="0" fontId="2" fillId="7" borderId="4" xfId="0" applyFont="1" applyFill="1" applyBorder="1" applyAlignment="1" applyProtection="1">
      <alignment horizontal="center" vertical="center"/>
      <protection locked="0"/>
    </xf>
    <xf numFmtId="0" fontId="4" fillId="7" borderId="5" xfId="0" applyFont="1" applyFill="1" applyBorder="1" applyAlignment="1" applyProtection="1">
      <alignment horizontal="center" vertical="center"/>
      <protection locked="0"/>
    </xf>
    <xf numFmtId="0" fontId="2" fillId="7" borderId="6" xfId="0" applyFont="1" applyFill="1" applyBorder="1" applyAlignment="1" applyProtection="1">
      <alignment horizontal="center" vertical="center"/>
      <protection locked="0"/>
    </xf>
    <xf numFmtId="0" fontId="0" fillId="8" borderId="1" xfId="0" applyFill="1" applyBorder="1" applyProtection="1"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8" borderId="7" xfId="0" applyFill="1" applyBorder="1" applyAlignment="1" applyProtection="1">
      <alignment horizontal="center" vertical="center"/>
      <protection locked="0"/>
    </xf>
    <xf numFmtId="9" fontId="1" fillId="8" borderId="8" xfId="0" applyNumberFormat="1" applyFont="1" applyFill="1" applyBorder="1" applyAlignment="1" applyProtection="1">
      <alignment horizontal="center"/>
      <protection locked="0"/>
    </xf>
    <xf numFmtId="0" fontId="0" fillId="8" borderId="9" xfId="0" applyFill="1" applyBorder="1" applyAlignment="1" applyProtection="1">
      <alignment horizontal="center" vertical="center"/>
      <protection locked="0"/>
    </xf>
    <xf numFmtId="0" fontId="0" fillId="9" borderId="1" xfId="0" applyFill="1" applyBorder="1" applyProtection="1"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9" borderId="7" xfId="0" applyFill="1" applyBorder="1" applyAlignment="1" applyProtection="1">
      <alignment horizontal="center" vertical="center"/>
      <protection locked="0"/>
    </xf>
    <xf numFmtId="9" fontId="1" fillId="9" borderId="8" xfId="0" applyNumberFormat="1" applyFont="1" applyFill="1" applyBorder="1" applyAlignment="1" applyProtection="1">
      <alignment horizontal="center"/>
      <protection locked="0"/>
    </xf>
    <xf numFmtId="0" fontId="0" fillId="9" borderId="9" xfId="0" applyFill="1" applyBorder="1" applyAlignment="1" applyProtection="1">
      <alignment horizontal="center" vertical="center"/>
      <protection locked="0"/>
    </xf>
    <xf numFmtId="9" fontId="1" fillId="8" borderId="10" xfId="0" applyNumberFormat="1" applyFont="1" applyFill="1" applyBorder="1" applyAlignment="1" applyProtection="1">
      <alignment horizontal="center"/>
      <protection locked="0"/>
    </xf>
    <xf numFmtId="0" fontId="4" fillId="7" borderId="0" xfId="0" applyFont="1" applyFill="1" applyProtection="1">
      <protection locked="0"/>
    </xf>
    <xf numFmtId="0" fontId="0" fillId="7" borderId="0" xfId="0" applyFill="1" applyProtection="1">
      <protection locked="0"/>
    </xf>
    <xf numFmtId="0" fontId="5" fillId="8" borderId="1" xfId="0" applyFont="1" applyFill="1" applyBorder="1" applyProtection="1">
      <protection locked="0"/>
    </xf>
    <xf numFmtId="0" fontId="5" fillId="9" borderId="1" xfId="0" applyFont="1" applyFill="1" applyBorder="1" applyProtection="1">
      <protection locked="0"/>
    </xf>
    <xf numFmtId="9" fontId="1" fillId="8" borderId="11" xfId="0" applyNumberFormat="1" applyFont="1" applyFill="1" applyBorder="1" applyAlignment="1" applyProtection="1">
      <alignment horizontal="center"/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2" fillId="7" borderId="7" xfId="0" applyFont="1" applyFill="1" applyBorder="1" applyAlignment="1" applyProtection="1">
      <alignment horizontal="center" vertical="center"/>
      <protection locked="0"/>
    </xf>
    <xf numFmtId="0" fontId="4" fillId="7" borderId="12" xfId="0" applyFont="1" applyFill="1" applyBorder="1" applyAlignment="1" applyProtection="1">
      <alignment horizontal="center" vertical="center"/>
      <protection locked="0"/>
    </xf>
    <xf numFmtId="0" fontId="1" fillId="7" borderId="13" xfId="0" applyFont="1" applyFill="1" applyBorder="1" applyAlignment="1" applyProtection="1">
      <alignment horizontal="center"/>
      <protection locked="0"/>
    </xf>
    <xf numFmtId="0" fontId="0" fillId="8" borderId="7" xfId="0" applyFill="1" applyBorder="1" applyProtection="1">
      <protection locked="0"/>
    </xf>
    <xf numFmtId="9" fontId="1" fillId="8" borderId="14" xfId="0" applyNumberFormat="1" applyFont="1" applyFill="1" applyBorder="1" applyAlignment="1" applyProtection="1">
      <alignment horizontal="center" vertical="center"/>
      <protection locked="0"/>
    </xf>
    <xf numFmtId="9" fontId="1" fillId="8" borderId="15" xfId="0" applyNumberFormat="1" applyFont="1" applyFill="1" applyBorder="1" applyAlignment="1" applyProtection="1">
      <alignment horizontal="center"/>
      <protection locked="0"/>
    </xf>
    <xf numFmtId="0" fontId="0" fillId="9" borderId="7" xfId="0" applyFill="1" applyBorder="1" applyProtection="1">
      <protection locked="0"/>
    </xf>
    <xf numFmtId="9" fontId="1" fillId="9" borderId="14" xfId="0" applyNumberFormat="1" applyFont="1" applyFill="1" applyBorder="1" applyAlignment="1" applyProtection="1">
      <alignment horizontal="center" vertical="center"/>
      <protection locked="0"/>
    </xf>
    <xf numFmtId="9" fontId="1" fillId="9" borderId="15" xfId="0" applyNumberFormat="1" applyFont="1" applyFill="1" applyBorder="1" applyAlignment="1" applyProtection="1">
      <alignment horizontal="center"/>
      <protection locked="0"/>
    </xf>
    <xf numFmtId="9" fontId="1" fillId="8" borderId="16" xfId="0" applyNumberFormat="1" applyFont="1" applyFill="1" applyBorder="1" applyAlignment="1" applyProtection="1">
      <alignment horizontal="center" vertical="center"/>
      <protection locked="0"/>
    </xf>
    <xf numFmtId="9" fontId="1" fillId="8" borderId="17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7" borderId="0" xfId="0" applyFont="1" applyFill="1" applyAlignment="1" applyProtection="1">
      <alignment horizontal="center" vertical="center"/>
      <protection locked="0"/>
    </xf>
    <xf numFmtId="0" fontId="0" fillId="8" borderId="0" xfId="0" applyFill="1" applyAlignment="1" applyProtection="1">
      <alignment vertical="top" wrapText="1"/>
      <protection locked="0"/>
    </xf>
    <xf numFmtId="0" fontId="0" fillId="8" borderId="0" xfId="0" applyFill="1" applyAlignment="1" applyProtection="1">
      <alignment horizontal="center" vertical="top" wrapText="1"/>
      <protection locked="0"/>
    </xf>
    <xf numFmtId="0" fontId="0" fillId="9" borderId="0" xfId="0" applyFill="1" applyAlignment="1" applyProtection="1">
      <alignment vertical="top" wrapText="1"/>
      <protection locked="0"/>
    </xf>
    <xf numFmtId="0" fontId="0" fillId="9" borderId="0" xfId="0" applyFill="1" applyAlignment="1" applyProtection="1">
      <alignment horizontal="center" vertical="top" wrapText="1"/>
      <protection locked="0"/>
    </xf>
    <xf numFmtId="49" fontId="0" fillId="8" borderId="0" xfId="0" applyNumberFormat="1" applyFill="1" applyAlignment="1" applyProtection="1">
      <alignment horizontal="center" vertical="top" wrapText="1"/>
      <protection locked="0"/>
    </xf>
    <xf numFmtId="0" fontId="4" fillId="11" borderId="0" xfId="0" applyFont="1" applyFill="1" applyProtection="1">
      <protection locked="0"/>
    </xf>
    <xf numFmtId="0" fontId="2" fillId="5" borderId="1" xfId="0" applyFont="1" applyFill="1" applyBorder="1" applyAlignment="1" applyProtection="1">
      <alignment vertical="top"/>
      <protection locked="0"/>
    </xf>
    <xf numFmtId="0" fontId="2" fillId="5" borderId="1" xfId="0" applyFont="1" applyFill="1" applyBorder="1" applyAlignment="1" applyProtection="1">
      <alignment vertical="center"/>
      <protection locked="0"/>
    </xf>
    <xf numFmtId="0" fontId="4" fillId="13" borderId="1" xfId="0" applyFont="1" applyFill="1" applyBorder="1" applyAlignment="1" applyProtection="1">
      <alignment horizontal="center"/>
      <protection locked="0"/>
    </xf>
    <xf numFmtId="0" fontId="2" fillId="8" borderId="1" xfId="0" applyFont="1" applyFill="1" applyBorder="1" applyProtection="1">
      <protection locked="0"/>
    </xf>
    <xf numFmtId="0" fontId="2" fillId="9" borderId="1" xfId="0" applyFont="1" applyFill="1" applyBorder="1" applyProtection="1">
      <protection locked="0"/>
    </xf>
    <xf numFmtId="49" fontId="0" fillId="0" borderId="0" xfId="0" applyNumberForma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/>
      <protection locked="0"/>
    </xf>
    <xf numFmtId="0" fontId="4" fillId="9" borderId="1" xfId="0" applyFont="1" applyFill="1" applyBorder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49" fontId="0" fillId="0" borderId="0" xfId="0" applyNumberFormat="1" applyAlignment="1" applyProtection="1">
      <alignment vertical="top"/>
      <protection locked="0"/>
    </xf>
    <xf numFmtId="0" fontId="6" fillId="4" borderId="0" xfId="0" applyFont="1" applyFill="1" applyAlignment="1" applyProtection="1">
      <alignment horizontal="left"/>
      <protection locked="0"/>
    </xf>
    <xf numFmtId="0" fontId="7" fillId="10" borderId="0" xfId="0" applyFont="1" applyFill="1" applyAlignment="1" applyProtection="1">
      <alignment horizontal="left" vertical="top" wrapText="1"/>
      <protection locked="0"/>
    </xf>
    <xf numFmtId="49" fontId="0" fillId="12" borderId="0" xfId="0" applyNumberFormat="1" applyFill="1" applyAlignment="1" applyProtection="1">
      <alignment vertical="top" wrapText="1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4" fillId="6" borderId="2" xfId="0" applyFont="1" applyFill="1" applyBorder="1" applyAlignment="1" applyProtection="1">
      <alignment horizontal="center" vertical="center"/>
      <protection locked="0"/>
    </xf>
    <xf numFmtId="0" fontId="1" fillId="6" borderId="2" xfId="0" applyFont="1" applyFill="1" applyBorder="1" applyAlignment="1" applyProtection="1">
      <alignment horizont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9" borderId="0" xfId="0" applyFill="1" applyAlignment="1" applyProtection="1">
      <alignment horizontal="left"/>
      <protection locked="0"/>
    </xf>
    <xf numFmtId="0" fontId="3" fillId="4" borderId="0" xfId="0" applyFont="1" applyFill="1" applyAlignment="1" applyProtection="1">
      <alignment horizontal="left"/>
      <protection locked="0"/>
    </xf>
    <xf numFmtId="0" fontId="4" fillId="7" borderId="0" xfId="0" applyFont="1" applyFill="1" applyAlignment="1" applyProtection="1">
      <alignment horizontal="left"/>
      <protection locked="0"/>
    </xf>
    <xf numFmtId="0" fontId="0" fillId="8" borderId="0" xfId="0" applyFill="1" applyAlignment="1" applyProtection="1">
      <alignment horizontal="left"/>
      <protection locked="0"/>
    </xf>
    <xf numFmtId="0" fontId="0" fillId="8" borderId="0" xfId="0" applyFill="1" applyAlignment="1" applyProtection="1">
      <alignment horizontal="left" vertical="center" wrapText="1"/>
      <protection locked="0"/>
    </xf>
    <xf numFmtId="0" fontId="0" fillId="5" borderId="1" xfId="0" applyFill="1" applyBorder="1" applyAlignment="1" applyProtection="1">
      <alignment horizontal="left" vertical="center" wrapText="1"/>
      <protection locked="0"/>
    </xf>
    <xf numFmtId="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0" xfId="0" applyNumberFormat="1" applyFont="1" applyFill="1" applyAlignment="1" applyProtection="1">
      <alignment horizontal="left" vertical="top" wrapText="1"/>
      <protection locked="0"/>
    </xf>
    <xf numFmtId="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left" vertical="top" wrapText="1"/>
      <protection locked="0"/>
    </xf>
    <xf numFmtId="0" fontId="8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15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EEECE1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4F81BD"/>
      <rgbColor rgb="FF8EB4E3"/>
      <rgbColor rgb="FF953735"/>
      <rgbColor rgb="FFFFF2CC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D7E4BD"/>
      <rgbColor rgb="FFFCE5CD"/>
      <rgbColor rgb="FFB9CDE5"/>
      <rgbColor rgb="FFFDEADA"/>
      <rgbColor rgb="FFD9D9D9"/>
      <rgbColor rgb="FFF4CCCC"/>
      <rgbColor rgb="FF4A7EBB"/>
      <rgbColor rgb="FF558ED5"/>
      <rgbColor rgb="FFB7DEE8"/>
      <rgbColor rgb="FFFFCC00"/>
      <rgbColor rgb="FFFF9900"/>
      <rgbColor rgb="FFE46C0A"/>
      <rgbColor rgb="FF604A7B"/>
      <rgbColor rgb="FF95B3D7"/>
      <rgbColor rgb="FF003366"/>
      <rgbColor rgb="FF00B050"/>
      <rgbColor rgb="FF003300"/>
      <rgbColor rgb="FF333300"/>
      <rgbColor rgb="FFC0504D"/>
      <rgbColor rgb="FF7030A0"/>
      <rgbColor rgb="FF59595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radarChart>
        <c:radarStyle val="marker"/>
        <c:varyColors val="0"/>
        <c:ser>
          <c:idx val="0"/>
          <c:order val="0"/>
          <c:tx>
            <c:v>Evaluation 1</c:v>
          </c:tx>
          <c:spPr>
            <a:ln w="34920" cap="rnd">
              <a:solidFill>
                <a:srgbClr val="4F81BD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4DD-494F-A22C-C4CA27515E7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4DD-494F-A22C-C4CA27515E7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54DD-494F-A22C-C4CA27515E7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54DD-494F-A22C-C4CA27515E7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54DD-494F-A22C-C4CA27515E7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54DD-494F-A22C-C4CA27515E7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DD-494F-A22C-C4CA27515E7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DD-494F-A22C-C4CA27515E7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DD-494F-A22C-C4CA27515E7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DD-494F-A22C-C4CA27515E7D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DD-494F-A22C-C4CA27515E7D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DD-494F-A22C-C4CA27515E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Synthèse!$A$20:$A$26</c:f>
              <c:strCache>
                <c:ptCount val="7"/>
                <c:pt idx="0">
                  <c:v>Inattention</c:v>
                </c:pt>
                <c:pt idx="1">
                  <c:v>Hyper/Impulsivité</c:v>
                </c:pt>
                <c:pt idx="2">
                  <c:v>Devoirs</c:v>
                </c:pt>
                <c:pt idx="3">
                  <c:v>Impact</c:v>
                </c:pt>
                <c:pt idx="4">
                  <c:v>Activation</c:v>
                </c:pt>
                <c:pt idx="5">
                  <c:v>Organisation</c:v>
                </c:pt>
                <c:pt idx="6">
                  <c:v>Réactions de confrontation</c:v>
                </c:pt>
              </c:strCache>
            </c:strRef>
          </c:cat>
          <c:val>
            <c:numRef>
              <c:f>Synthèse!$B$20:$B$26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DD-494F-A22C-C4CA27515E7D}"/>
            </c:ext>
          </c:extLst>
        </c:ser>
        <c:ser>
          <c:idx val="1"/>
          <c:order val="1"/>
          <c:tx>
            <c:strRef>
              <c:f>Synthèse!$C$19</c:f>
              <c:strCache>
                <c:ptCount val="1"/>
                <c:pt idx="0">
                  <c:v>Evaluation 2</c:v>
                </c:pt>
              </c:strCache>
            </c:strRef>
          </c:tx>
          <c:spPr>
            <a:ln w="3492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Synthèse!$A$20:$A$26</c:f>
              <c:strCache>
                <c:ptCount val="7"/>
                <c:pt idx="0">
                  <c:v>Inattention</c:v>
                </c:pt>
                <c:pt idx="1">
                  <c:v>Hyper/Impulsivité</c:v>
                </c:pt>
                <c:pt idx="2">
                  <c:v>Devoirs</c:v>
                </c:pt>
                <c:pt idx="3">
                  <c:v>Impact</c:v>
                </c:pt>
                <c:pt idx="4">
                  <c:v>Activation</c:v>
                </c:pt>
                <c:pt idx="5">
                  <c:v>Organisation</c:v>
                </c:pt>
                <c:pt idx="6">
                  <c:v>Réactions de confrontation</c:v>
                </c:pt>
              </c:strCache>
            </c:strRef>
          </c:cat>
          <c:val>
            <c:numRef>
              <c:f>Synthèse!$C$20:$C$26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DD-494F-A22C-C4CA27515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36469"/>
        <c:axId val="81025116"/>
      </c:radarChart>
      <c:catAx>
        <c:axId val="38236469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fr-FR"/>
          </a:p>
        </c:txPr>
        <c:crossAx val="81025116"/>
        <c:crosses val="autoZero"/>
        <c:auto val="1"/>
        <c:lblAlgn val="ctr"/>
        <c:lblOffset val="100"/>
        <c:noMultiLvlLbl val="0"/>
      </c:catAx>
      <c:valAx>
        <c:axId val="8102511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fr-FR"/>
          </a:p>
        </c:txPr>
        <c:crossAx val="38236469"/>
        <c:crosses val="autoZero"/>
        <c:crossBetween val="midCat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221040</xdr:colOff>
      <xdr:row>0</xdr:row>
      <xdr:rowOff>106560</xdr:rowOff>
    </xdr:from>
    <xdr:to>
      <xdr:col>1</xdr:col>
      <xdr:colOff>723600</xdr:colOff>
      <xdr:row>0</xdr:row>
      <xdr:rowOff>693000</xdr:rowOff>
    </xdr:to>
    <xdr:pic>
      <xdr:nvPicPr>
        <xdr:cNvPr id="2" name="Image 1" descr="Une image contenant texte&#10;&#10;Description générée automatiquemen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1040" y="106560"/>
          <a:ext cx="1348560" cy="586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350640</xdr:colOff>
      <xdr:row>6</xdr:row>
      <xdr:rowOff>152280</xdr:rowOff>
    </xdr:from>
    <xdr:to>
      <xdr:col>14</xdr:col>
      <xdr:colOff>240480</xdr:colOff>
      <xdr:row>20</xdr:row>
      <xdr:rowOff>138240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A4:D14" totalsRowShown="0">
  <autoFilter ref="A4:D14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Item"/>
    <tableColumn id="2" xr3:uid="{00000000-0010-0000-0000-000002000000}" name="Énoncé"/>
    <tableColumn id="3" xr3:uid="{00000000-0010-0000-0000-000003000000}" name="Valeur (0–3)"/>
    <tableColumn id="4" xr3:uid="{00000000-0010-0000-0000-000004000000}" name="Valeur (0-3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au3" displayName="Tableau3" ref="A3:D11" totalsRowShown="0">
  <autoFilter ref="A3:D11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Item"/>
    <tableColumn id="2" xr3:uid="{00000000-0010-0000-0100-000002000000}" name="Énoncé"/>
    <tableColumn id="3" xr3:uid="{00000000-0010-0000-0100-000003000000}" name="Valeur (0–3)"/>
    <tableColumn id="4" xr3:uid="{00000000-0010-0000-0100-000004000000}" name="Valeur (0-3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au4" displayName="Tableau4" ref="A3:D12" totalsRowShown="0">
  <autoFilter ref="A3:D12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Item"/>
    <tableColumn id="2" xr3:uid="{00000000-0010-0000-0200-000002000000}" name="Énoncé"/>
    <tableColumn id="3" xr3:uid="{00000000-0010-0000-0200-000003000000}" name="Valeur (0–3)"/>
    <tableColumn id="4" xr3:uid="{00000000-0010-0000-0200-000004000000}" name="Valeur (0-3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au1" displayName="Tableau1" ref="A3:D13" totalsRowShown="0">
  <autoFilter ref="A3:D13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300-000001000000}" name="Item"/>
    <tableColumn id="2" xr3:uid="{00000000-0010-0000-0300-000002000000}" name="Énoncé"/>
    <tableColumn id="3" xr3:uid="{00000000-0010-0000-0300-000003000000}" name="Valeur (0–3)"/>
    <tableColumn id="4" xr3:uid="{00000000-0010-0000-0300-000004000000}" name="Valeur (0-3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au5" displayName="Tableau5" ref="A3:D6" totalsRowShown="0">
  <autoFilter ref="A3:D6" xr:uid="{00000000-0009-0000-0100-000005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400-000001000000}" name="Item"/>
    <tableColumn id="2" xr3:uid="{00000000-0010-0000-0400-000002000000}" name="Énoncé"/>
    <tableColumn id="3" xr3:uid="{00000000-0010-0000-0400-000003000000}" name="Valeur (0–3)"/>
    <tableColumn id="4" xr3:uid="{00000000-0010-0000-0400-000004000000}" name="Valeur (0-3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u6" displayName="Tableau6" ref="A4:D36" totalsRowShown="0">
  <autoFilter ref="A4:D36" xr:uid="{00000000-0009-0000-0100-000006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500-000001000000}" name="Domaine"/>
    <tableColumn id="2" xr3:uid="{00000000-0010-0000-0500-000002000000}" name="Capacité / ressource observée"/>
    <tableColumn id="3" xr3:uid="{00000000-0010-0000-0500-000003000000}" name="Présence (0–3)"/>
    <tableColumn id="4" xr3:uid="{00000000-0010-0000-0500-000004000000}" name="Commentaires / exempl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58ED5"/>
    <pageSetUpPr fitToPage="1"/>
  </sheetPr>
  <dimension ref="A1:D16"/>
  <sheetViews>
    <sheetView zoomScaleNormal="100" workbookViewId="0">
      <pane ySplit="4" topLeftCell="A5" activePane="bottomLeft" state="frozen"/>
      <selection pane="bottomLeft" activeCell="C5" sqref="C5"/>
    </sheetView>
  </sheetViews>
  <sheetFormatPr baseColWidth="10" defaultColWidth="8.88671875" defaultRowHeight="14.4" x14ac:dyDescent="0.3"/>
  <cols>
    <col min="1" max="1" width="12" customWidth="1"/>
    <col min="2" max="2" width="100" customWidth="1"/>
    <col min="3" max="3" width="14" customWidth="1"/>
    <col min="4" max="4" width="14.109375" customWidth="1"/>
  </cols>
  <sheetData>
    <row r="1" spans="1:4" ht="62.25" customHeight="1" x14ac:dyDescent="0.3">
      <c r="A1" s="4"/>
      <c r="B1" s="4"/>
      <c r="C1" s="4"/>
      <c r="D1" s="4"/>
    </row>
    <row r="2" spans="1:4" x14ac:dyDescent="0.3">
      <c r="A2" s="70" t="s">
        <v>0</v>
      </c>
      <c r="B2" s="70"/>
      <c r="C2" s="70"/>
      <c r="D2" s="70"/>
    </row>
    <row r="3" spans="1:4" x14ac:dyDescent="0.3">
      <c r="A3" s="4"/>
      <c r="B3" s="4" t="s">
        <v>1</v>
      </c>
      <c r="C3" s="5" t="s">
        <v>2</v>
      </c>
      <c r="D3" s="5" t="s">
        <v>3</v>
      </c>
    </row>
    <row r="4" spans="1:4" x14ac:dyDescent="0.3">
      <c r="A4" s="6" t="s">
        <v>4</v>
      </c>
      <c r="B4" s="6" t="s">
        <v>5</v>
      </c>
      <c r="C4" s="6" t="s">
        <v>6</v>
      </c>
      <c r="D4" s="6" t="s">
        <v>7</v>
      </c>
    </row>
    <row r="5" spans="1:4" x14ac:dyDescent="0.3">
      <c r="A5" s="6" t="s">
        <v>8</v>
      </c>
      <c r="B5" s="4" t="s">
        <v>9</v>
      </c>
      <c r="C5" s="6"/>
      <c r="D5" s="6"/>
    </row>
    <row r="6" spans="1:4" x14ac:dyDescent="0.3">
      <c r="A6" s="6" t="s">
        <v>10</v>
      </c>
      <c r="B6" s="4" t="s">
        <v>11</v>
      </c>
      <c r="C6" s="6"/>
      <c r="D6" s="6"/>
    </row>
    <row r="7" spans="1:4" x14ac:dyDescent="0.3">
      <c r="A7" s="6" t="s">
        <v>12</v>
      </c>
      <c r="B7" s="4" t="s">
        <v>13</v>
      </c>
      <c r="C7" s="6"/>
      <c r="D7" s="6"/>
    </row>
    <row r="8" spans="1:4" x14ac:dyDescent="0.3">
      <c r="A8" s="6" t="s">
        <v>14</v>
      </c>
      <c r="B8" s="4" t="s">
        <v>15</v>
      </c>
      <c r="C8" s="6"/>
      <c r="D8" s="6"/>
    </row>
    <row r="9" spans="1:4" x14ac:dyDescent="0.3">
      <c r="A9" s="6" t="s">
        <v>16</v>
      </c>
      <c r="B9" s="4" t="s">
        <v>17</v>
      </c>
      <c r="C9" s="6"/>
      <c r="D9" s="6"/>
    </row>
    <row r="10" spans="1:4" x14ac:dyDescent="0.3">
      <c r="A10" s="6" t="s">
        <v>18</v>
      </c>
      <c r="B10" s="4" t="s">
        <v>19</v>
      </c>
      <c r="C10" s="6"/>
      <c r="D10" s="6"/>
    </row>
    <row r="11" spans="1:4" x14ac:dyDescent="0.3">
      <c r="A11" s="6" t="s">
        <v>20</v>
      </c>
      <c r="B11" s="4" t="s">
        <v>21</v>
      </c>
      <c r="C11" s="6"/>
      <c r="D11" s="6"/>
    </row>
    <row r="12" spans="1:4" x14ac:dyDescent="0.3">
      <c r="A12" s="6" t="s">
        <v>22</v>
      </c>
      <c r="B12" s="4" t="s">
        <v>23</v>
      </c>
      <c r="C12" s="6"/>
      <c r="D12" s="6"/>
    </row>
    <row r="13" spans="1:4" x14ac:dyDescent="0.3">
      <c r="A13" s="6" t="s">
        <v>24</v>
      </c>
      <c r="B13" s="4" t="s">
        <v>25</v>
      </c>
      <c r="C13" s="6"/>
      <c r="D13" s="6"/>
    </row>
    <row r="14" spans="1:4" x14ac:dyDescent="0.3">
      <c r="A14" s="6" t="s">
        <v>26</v>
      </c>
      <c r="B14" s="4" t="s">
        <v>27</v>
      </c>
      <c r="C14" s="6"/>
      <c r="D14" s="6"/>
    </row>
    <row r="15" spans="1:4" x14ac:dyDescent="0.3">
      <c r="A15" s="4"/>
      <c r="B15" s="4"/>
      <c r="C15" s="4"/>
      <c r="D15" s="4"/>
    </row>
    <row r="16" spans="1:4" x14ac:dyDescent="0.3">
      <c r="A16" s="4"/>
      <c r="B16" s="7" t="s">
        <v>28</v>
      </c>
      <c r="C16" s="8">
        <f>SUM(C5:C14)</f>
        <v>0</v>
      </c>
      <c r="D16" s="8">
        <f>SUM(D5:D14)</f>
        <v>0</v>
      </c>
    </row>
  </sheetData>
  <mergeCells count="1">
    <mergeCell ref="A2:D2"/>
  </mergeCells>
  <conditionalFormatting sqref="C5:D14">
    <cfRule type="cellIs" dxfId="14" priority="2" operator="equal">
      <formula>1</formula>
    </cfRule>
    <cfRule type="cellIs" dxfId="13" priority="3" operator="equal">
      <formula>2</formula>
    </cfRule>
    <cfRule type="cellIs" dxfId="12" priority="4" operator="equal">
      <formula>3</formula>
    </cfRule>
  </conditionalFormatting>
  <dataValidations count="1">
    <dataValidation type="whole" allowBlank="1" errorTitle="Valeur invalide" error="Veuillez entrer une valeur entière entre 0 et 3." promptTitle="Valeur (0-3)" prompt="Entrez 0, 1, 2 ou 3." sqref="C5:D14" xr:uid="{00000000-0002-0000-0000-000000000000}">
      <formula1>0</formula1>
      <formula2>3</formula2>
    </dataValidation>
  </dataValidations>
  <pageMargins left="0.75" right="0.75" top="1" bottom="1" header="0.511811023622047" footer="0.511811023622047"/>
  <pageSetup paperSize="9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53735"/>
    <pageSetUpPr fitToPage="1"/>
  </sheetPr>
  <dimension ref="A1:D13"/>
  <sheetViews>
    <sheetView zoomScaleNormal="100" workbookViewId="0">
      <pane ySplit="3" topLeftCell="A4" activePane="bottomLeft" state="frozen"/>
      <selection pane="bottomLeft" activeCell="A3" sqref="A3:D11"/>
    </sheetView>
  </sheetViews>
  <sheetFormatPr baseColWidth="10" defaultColWidth="8.88671875" defaultRowHeight="14.4" x14ac:dyDescent="0.3"/>
  <cols>
    <col min="1" max="1" width="12" customWidth="1"/>
    <col min="2" max="2" width="100" customWidth="1"/>
    <col min="3" max="3" width="14" customWidth="1"/>
    <col min="4" max="4" width="14.109375" customWidth="1"/>
  </cols>
  <sheetData>
    <row r="1" spans="1:4" x14ac:dyDescent="0.3">
      <c r="A1" s="70" t="s">
        <v>29</v>
      </c>
      <c r="B1" s="70"/>
      <c r="C1" s="70"/>
      <c r="D1" s="70"/>
    </row>
    <row r="2" spans="1:4" x14ac:dyDescent="0.3">
      <c r="A2" s="4"/>
      <c r="B2" s="4" t="s">
        <v>1</v>
      </c>
      <c r="C2" s="5" t="s">
        <v>2</v>
      </c>
      <c r="D2" s="5" t="s">
        <v>3</v>
      </c>
    </row>
    <row r="3" spans="1:4" x14ac:dyDescent="0.3">
      <c r="A3" s="6" t="s">
        <v>4</v>
      </c>
      <c r="B3" s="6" t="s">
        <v>5</v>
      </c>
      <c r="C3" s="6" t="s">
        <v>6</v>
      </c>
      <c r="D3" s="6" t="s">
        <v>7</v>
      </c>
    </row>
    <row r="4" spans="1:4" x14ac:dyDescent="0.3">
      <c r="A4" s="6" t="s">
        <v>30</v>
      </c>
      <c r="B4" s="4" t="s">
        <v>31</v>
      </c>
      <c r="C4" s="4"/>
      <c r="D4" s="4"/>
    </row>
    <row r="5" spans="1:4" x14ac:dyDescent="0.3">
      <c r="A5" s="6" t="s">
        <v>32</v>
      </c>
      <c r="B5" s="4" t="s">
        <v>33</v>
      </c>
      <c r="C5" s="4"/>
      <c r="D5" s="4"/>
    </row>
    <row r="6" spans="1:4" x14ac:dyDescent="0.3">
      <c r="A6" s="6" t="s">
        <v>34</v>
      </c>
      <c r="B6" s="4" t="s">
        <v>35</v>
      </c>
      <c r="C6" s="4"/>
      <c r="D6" s="4"/>
    </row>
    <row r="7" spans="1:4" x14ac:dyDescent="0.3">
      <c r="A7" s="6" t="s">
        <v>36</v>
      </c>
      <c r="B7" s="4" t="s">
        <v>37</v>
      </c>
      <c r="C7" s="4"/>
      <c r="D7" s="4"/>
    </row>
    <row r="8" spans="1:4" x14ac:dyDescent="0.3">
      <c r="A8" s="6" t="s">
        <v>38</v>
      </c>
      <c r="B8" s="4" t="s">
        <v>39</v>
      </c>
      <c r="C8" s="4"/>
      <c r="D8" s="4"/>
    </row>
    <row r="9" spans="1:4" x14ac:dyDescent="0.3">
      <c r="A9" s="6" t="s">
        <v>40</v>
      </c>
      <c r="B9" s="4" t="s">
        <v>41</v>
      </c>
      <c r="C9" s="4"/>
      <c r="D9" s="4"/>
    </row>
    <row r="10" spans="1:4" x14ac:dyDescent="0.3">
      <c r="A10" s="6" t="s">
        <v>42</v>
      </c>
      <c r="B10" s="4" t="s">
        <v>43</v>
      </c>
      <c r="C10" s="4"/>
      <c r="D10" s="4"/>
    </row>
    <row r="11" spans="1:4" x14ac:dyDescent="0.3">
      <c r="A11" s="6" t="s">
        <v>44</v>
      </c>
      <c r="B11" s="4" t="s">
        <v>45</v>
      </c>
      <c r="C11" s="4"/>
      <c r="D11" s="4"/>
    </row>
    <row r="12" spans="1:4" x14ac:dyDescent="0.3">
      <c r="A12" s="4"/>
      <c r="B12" s="4"/>
      <c r="C12" s="4"/>
      <c r="D12" s="4"/>
    </row>
    <row r="13" spans="1:4" x14ac:dyDescent="0.3">
      <c r="A13" s="4"/>
      <c r="B13" s="7" t="s">
        <v>28</v>
      </c>
      <c r="C13" s="8">
        <f>SUM(C4:C11)</f>
        <v>0</v>
      </c>
      <c r="D13" s="8">
        <f>SUM(D4:D11)</f>
        <v>0</v>
      </c>
    </row>
  </sheetData>
  <mergeCells count="1">
    <mergeCell ref="A1:D1"/>
  </mergeCells>
  <conditionalFormatting sqref="C4:D11">
    <cfRule type="cellIs" dxfId="11" priority="2" operator="equal">
      <formula>1</formula>
    </cfRule>
    <cfRule type="cellIs" dxfId="10" priority="3" operator="equal">
      <formula>2</formula>
    </cfRule>
    <cfRule type="cellIs" dxfId="9" priority="4" operator="equal">
      <formula>3</formula>
    </cfRule>
  </conditionalFormatting>
  <dataValidations count="1">
    <dataValidation type="whole" allowBlank="1" errorTitle="Valeur invalide" error="Veuillez entrer une valeur entière entre 0 et 3." promptTitle="Valeur (0-3)" prompt="Entrez 0, 1, 2 ou 3." sqref="C4:D13" xr:uid="{00000000-0002-0000-0100-000000000000}">
      <formula1>0</formula1>
      <formula2>3</formula2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7933C"/>
    <pageSetUpPr fitToPage="1"/>
  </sheetPr>
  <dimension ref="A1:D14"/>
  <sheetViews>
    <sheetView zoomScaleNormal="100" workbookViewId="0">
      <pane ySplit="3" topLeftCell="A4" activePane="bottomLeft" state="frozen"/>
      <selection pane="bottomLeft" activeCell="C22" sqref="C22"/>
    </sheetView>
  </sheetViews>
  <sheetFormatPr baseColWidth="10" defaultColWidth="8.88671875" defaultRowHeight="14.4" x14ac:dyDescent="0.3"/>
  <cols>
    <col min="1" max="1" width="12" customWidth="1"/>
    <col min="2" max="2" width="100" customWidth="1"/>
    <col min="3" max="3" width="14" customWidth="1"/>
    <col min="4" max="4" width="14.109375" customWidth="1"/>
  </cols>
  <sheetData>
    <row r="1" spans="1:4" x14ac:dyDescent="0.3">
      <c r="A1" s="70" t="s">
        <v>46</v>
      </c>
      <c r="B1" s="70"/>
      <c r="C1" s="70"/>
      <c r="D1" s="70"/>
    </row>
    <row r="2" spans="1:4" x14ac:dyDescent="0.3">
      <c r="A2" s="4"/>
      <c r="B2" s="4" t="s">
        <v>1</v>
      </c>
      <c r="C2" s="5" t="s">
        <v>2</v>
      </c>
      <c r="D2" s="5" t="s">
        <v>3</v>
      </c>
    </row>
    <row r="3" spans="1:4" x14ac:dyDescent="0.3">
      <c r="A3" s="6" t="s">
        <v>4</v>
      </c>
      <c r="B3" s="6" t="s">
        <v>5</v>
      </c>
      <c r="C3" s="6" t="s">
        <v>6</v>
      </c>
      <c r="D3" s="6" t="s">
        <v>7</v>
      </c>
    </row>
    <row r="4" spans="1:4" x14ac:dyDescent="0.3">
      <c r="A4" s="6" t="s">
        <v>47</v>
      </c>
      <c r="B4" s="4" t="s">
        <v>48</v>
      </c>
      <c r="C4" s="6"/>
      <c r="D4" s="6"/>
    </row>
    <row r="5" spans="1:4" x14ac:dyDescent="0.3">
      <c r="A5" s="6" t="s">
        <v>49</v>
      </c>
      <c r="B5" s="4" t="s">
        <v>50</v>
      </c>
      <c r="C5" s="6"/>
      <c r="D5" s="6"/>
    </row>
    <row r="6" spans="1:4" x14ac:dyDescent="0.3">
      <c r="A6" s="6" t="s">
        <v>51</v>
      </c>
      <c r="B6" s="4" t="s">
        <v>52</v>
      </c>
      <c r="C6" s="6"/>
      <c r="D6" s="6"/>
    </row>
    <row r="7" spans="1:4" x14ac:dyDescent="0.3">
      <c r="A7" s="6" t="s">
        <v>53</v>
      </c>
      <c r="B7" s="4" t="s">
        <v>54</v>
      </c>
      <c r="C7" s="6"/>
      <c r="D7" s="6"/>
    </row>
    <row r="8" spans="1:4" x14ac:dyDescent="0.3">
      <c r="A8" s="6" t="s">
        <v>55</v>
      </c>
      <c r="B8" s="4" t="s">
        <v>56</v>
      </c>
      <c r="C8" s="6"/>
      <c r="D8" s="6"/>
    </row>
    <row r="9" spans="1:4" x14ac:dyDescent="0.3">
      <c r="A9" s="6" t="s">
        <v>57</v>
      </c>
      <c r="B9" s="4" t="s">
        <v>58</v>
      </c>
      <c r="C9" s="6"/>
      <c r="D9" s="6"/>
    </row>
    <row r="10" spans="1:4" x14ac:dyDescent="0.3">
      <c r="A10" s="6" t="s">
        <v>59</v>
      </c>
      <c r="B10" s="4" t="s">
        <v>60</v>
      </c>
      <c r="C10" s="6"/>
      <c r="D10" s="6"/>
    </row>
    <row r="11" spans="1:4" x14ac:dyDescent="0.3">
      <c r="A11" s="6" t="s">
        <v>61</v>
      </c>
      <c r="B11" s="4" t="s">
        <v>62</v>
      </c>
      <c r="C11" s="6"/>
      <c r="D11" s="6"/>
    </row>
    <row r="12" spans="1:4" x14ac:dyDescent="0.3">
      <c r="A12" s="6" t="s">
        <v>63</v>
      </c>
      <c r="B12" s="4" t="s">
        <v>64</v>
      </c>
      <c r="C12" s="6"/>
      <c r="D12" s="6"/>
    </row>
    <row r="13" spans="1:4" x14ac:dyDescent="0.3">
      <c r="A13" s="4"/>
      <c r="B13" s="4"/>
      <c r="C13" s="4"/>
      <c r="D13" s="4"/>
    </row>
    <row r="14" spans="1:4" x14ac:dyDescent="0.3">
      <c r="A14" s="4"/>
      <c r="B14" s="7" t="s">
        <v>28</v>
      </c>
      <c r="C14" s="8">
        <f>SUM(C4:C12)</f>
        <v>0</v>
      </c>
      <c r="D14" s="8">
        <f>SUM(D4:D12)</f>
        <v>0</v>
      </c>
    </row>
  </sheetData>
  <mergeCells count="1">
    <mergeCell ref="A1:D1"/>
  </mergeCells>
  <conditionalFormatting sqref="C4:D12">
    <cfRule type="cellIs" dxfId="8" priority="2" operator="equal">
      <formula>1</formula>
    </cfRule>
    <cfRule type="cellIs" dxfId="7" priority="3" operator="equal">
      <formula>2</formula>
    </cfRule>
    <cfRule type="cellIs" dxfId="6" priority="4" operator="equal">
      <formula>3</formula>
    </cfRule>
  </conditionalFormatting>
  <dataValidations count="1">
    <dataValidation type="whole" allowBlank="1" errorTitle="Valeur invalide" error="Veuillez entrer une valeur entière entre 0 et 3." promptTitle="Valeur (0-3)" prompt="Entrez 0, 1, 2 ou 3." sqref="C4:D13" xr:uid="{00000000-0002-0000-0200-000000000000}">
      <formula1>0</formula1>
      <formula2>3</formula2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58ED5"/>
  </sheetPr>
  <dimension ref="A1:D15"/>
  <sheetViews>
    <sheetView zoomScaleNormal="100" workbookViewId="0">
      <pane ySplit="1" topLeftCell="A2" activePane="bottomLeft" state="frozen"/>
      <selection pane="bottomLeft" activeCell="A3" sqref="A3:D13"/>
    </sheetView>
  </sheetViews>
  <sheetFormatPr baseColWidth="10" defaultColWidth="8.88671875" defaultRowHeight="14.4" x14ac:dyDescent="0.3"/>
  <cols>
    <col min="1" max="1" width="14" customWidth="1"/>
    <col min="2" max="2" width="95" customWidth="1"/>
    <col min="3" max="4" width="14" customWidth="1"/>
  </cols>
  <sheetData>
    <row r="1" spans="1:4" ht="18" customHeight="1" x14ac:dyDescent="0.35">
      <c r="A1" s="9" t="s">
        <v>65</v>
      </c>
      <c r="B1" s="4"/>
      <c r="C1" s="4"/>
      <c r="D1" s="4"/>
    </row>
    <row r="2" spans="1:4" x14ac:dyDescent="0.3">
      <c r="A2" s="10"/>
      <c r="B2" s="4" t="s">
        <v>1</v>
      </c>
      <c r="C2" s="5" t="s">
        <v>2</v>
      </c>
      <c r="D2" s="5" t="s">
        <v>3</v>
      </c>
    </row>
    <row r="3" spans="1:4" x14ac:dyDescent="0.3">
      <c r="A3" s="11" t="s">
        <v>4</v>
      </c>
      <c r="B3" s="6" t="s">
        <v>5</v>
      </c>
      <c r="C3" s="11" t="s">
        <v>6</v>
      </c>
      <c r="D3" s="11" t="s">
        <v>7</v>
      </c>
    </row>
    <row r="4" spans="1:4" x14ac:dyDescent="0.3">
      <c r="A4" s="11" t="s">
        <v>66</v>
      </c>
      <c r="B4" s="4" t="s">
        <v>67</v>
      </c>
      <c r="C4" s="6"/>
      <c r="D4" s="6"/>
    </row>
    <row r="5" spans="1:4" x14ac:dyDescent="0.3">
      <c r="A5" s="11" t="s">
        <v>68</v>
      </c>
      <c r="B5" s="4" t="s">
        <v>69</v>
      </c>
      <c r="C5" s="6"/>
      <c r="D5" s="6"/>
    </row>
    <row r="6" spans="1:4" x14ac:dyDescent="0.3">
      <c r="A6" s="11" t="s">
        <v>70</v>
      </c>
      <c r="B6" s="4" t="s">
        <v>71</v>
      </c>
      <c r="C6" s="6"/>
      <c r="D6" s="6"/>
    </row>
    <row r="7" spans="1:4" x14ac:dyDescent="0.3">
      <c r="A7" s="11" t="s">
        <v>72</v>
      </c>
      <c r="B7" s="4" t="s">
        <v>73</v>
      </c>
      <c r="C7" s="6"/>
      <c r="D7" s="6"/>
    </row>
    <row r="8" spans="1:4" x14ac:dyDescent="0.3">
      <c r="A8" s="11" t="s">
        <v>74</v>
      </c>
      <c r="B8" s="4" t="s">
        <v>75</v>
      </c>
      <c r="C8" s="6"/>
      <c r="D8" s="6"/>
    </row>
    <row r="9" spans="1:4" x14ac:dyDescent="0.3">
      <c r="A9" s="11" t="s">
        <v>76</v>
      </c>
      <c r="B9" s="4" t="s">
        <v>77</v>
      </c>
      <c r="C9" s="6"/>
      <c r="D9" s="6"/>
    </row>
    <row r="10" spans="1:4" x14ac:dyDescent="0.3">
      <c r="A10" s="11" t="s">
        <v>78</v>
      </c>
      <c r="B10" s="4" t="s">
        <v>79</v>
      </c>
      <c r="C10" s="6"/>
      <c r="D10" s="6"/>
    </row>
    <row r="11" spans="1:4" x14ac:dyDescent="0.3">
      <c r="A11" s="11" t="s">
        <v>80</v>
      </c>
      <c r="B11" s="4" t="s">
        <v>81</v>
      </c>
      <c r="C11" s="6"/>
      <c r="D11" s="6"/>
    </row>
    <row r="12" spans="1:4" x14ac:dyDescent="0.3">
      <c r="A12" s="11" t="s">
        <v>82</v>
      </c>
      <c r="B12" s="4" t="s">
        <v>83</v>
      </c>
      <c r="C12" s="6"/>
      <c r="D12" s="6"/>
    </row>
    <row r="13" spans="1:4" x14ac:dyDescent="0.3">
      <c r="A13" s="11" t="s">
        <v>84</v>
      </c>
      <c r="B13" s="4" t="s">
        <v>85</v>
      </c>
      <c r="C13" s="6"/>
      <c r="D13" s="6"/>
    </row>
    <row r="14" spans="1:4" x14ac:dyDescent="0.3">
      <c r="A14" s="4"/>
      <c r="B14" s="4"/>
      <c r="C14" s="4"/>
      <c r="D14" s="4"/>
    </row>
    <row r="15" spans="1:4" x14ac:dyDescent="0.3">
      <c r="A15" s="4"/>
      <c r="B15" s="7" t="s">
        <v>86</v>
      </c>
      <c r="C15" s="12">
        <f>SUM(C4:C13)</f>
        <v>0</v>
      </c>
      <c r="D15" s="12">
        <f>SUM(D4:D13)</f>
        <v>0</v>
      </c>
    </row>
  </sheetData>
  <conditionalFormatting sqref="C4:D13">
    <cfRule type="cellIs" dxfId="5" priority="2" operator="equal">
      <formula>1</formula>
    </cfRule>
    <cfRule type="cellIs" dxfId="4" priority="3" operator="equal">
      <formula>2</formula>
    </cfRule>
    <cfRule type="cellIs" dxfId="3" priority="4" operator="equal">
      <formula>3</formula>
    </cfRule>
  </conditionalFormatting>
  <dataValidations count="1">
    <dataValidation type="whole" allowBlank="1" promptTitle="Valeur (0–3)" prompt="0 = Jamais | 1 = Parfois | 2 = Souvent | 3 = Très souvent" sqref="C4:D13" xr:uid="{00000000-0002-0000-0300-000000000000}">
      <formula1>0</formula1>
      <formula2>3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4A7B"/>
    <pageSetUpPr fitToPage="1"/>
  </sheetPr>
  <dimension ref="A1:D8"/>
  <sheetViews>
    <sheetView zoomScaleNormal="100" workbookViewId="0">
      <pane ySplit="3" topLeftCell="A4" activePane="bottomLeft" state="frozen"/>
      <selection pane="bottomLeft" activeCell="E17" sqref="E17"/>
    </sheetView>
  </sheetViews>
  <sheetFormatPr baseColWidth="10" defaultColWidth="8.88671875" defaultRowHeight="14.4" x14ac:dyDescent="0.3"/>
  <cols>
    <col min="1" max="1" width="12" customWidth="1"/>
    <col min="2" max="2" width="100" customWidth="1"/>
    <col min="3" max="3" width="14" customWidth="1"/>
    <col min="4" max="4" width="13.6640625" customWidth="1"/>
  </cols>
  <sheetData>
    <row r="1" spans="1:4" x14ac:dyDescent="0.3">
      <c r="A1" s="70" t="s">
        <v>87</v>
      </c>
      <c r="B1" s="70"/>
      <c r="C1" s="70"/>
      <c r="D1" s="70"/>
    </row>
    <row r="2" spans="1:4" x14ac:dyDescent="0.3">
      <c r="A2" s="4"/>
      <c r="B2" s="4" t="s">
        <v>1</v>
      </c>
      <c r="C2" s="5" t="s">
        <v>2</v>
      </c>
      <c r="D2" s="5" t="s">
        <v>3</v>
      </c>
    </row>
    <row r="3" spans="1:4" x14ac:dyDescent="0.3">
      <c r="A3" s="6" t="s">
        <v>4</v>
      </c>
      <c r="B3" s="6" t="s">
        <v>5</v>
      </c>
      <c r="C3" s="6" t="s">
        <v>6</v>
      </c>
      <c r="D3" s="6" t="s">
        <v>7</v>
      </c>
    </row>
    <row r="4" spans="1:4" x14ac:dyDescent="0.3">
      <c r="A4" s="6" t="s">
        <v>88</v>
      </c>
      <c r="B4" s="4" t="s">
        <v>89</v>
      </c>
      <c r="C4" s="6"/>
      <c r="D4" s="6"/>
    </row>
    <row r="5" spans="1:4" x14ac:dyDescent="0.3">
      <c r="A5" s="6" t="s">
        <v>90</v>
      </c>
      <c r="B5" s="4" t="s">
        <v>91</v>
      </c>
      <c r="C5" s="6"/>
      <c r="D5" s="6"/>
    </row>
    <row r="6" spans="1:4" x14ac:dyDescent="0.3">
      <c r="A6" s="6" t="s">
        <v>92</v>
      </c>
      <c r="B6" s="4" t="s">
        <v>93</v>
      </c>
      <c r="C6" s="6"/>
      <c r="D6" s="6"/>
    </row>
    <row r="7" spans="1:4" x14ac:dyDescent="0.3">
      <c r="A7" s="4"/>
      <c r="B7" s="4"/>
      <c r="C7" s="4"/>
      <c r="D7" s="4"/>
    </row>
    <row r="8" spans="1:4" x14ac:dyDescent="0.3">
      <c r="A8" s="4"/>
      <c r="B8" s="7" t="s">
        <v>28</v>
      </c>
      <c r="C8" s="8">
        <f>SUM(C4:C6)</f>
        <v>0</v>
      </c>
      <c r="D8" s="8">
        <f>SUM(D4:D6)</f>
        <v>0</v>
      </c>
    </row>
  </sheetData>
  <mergeCells count="1">
    <mergeCell ref="A1:D1"/>
  </mergeCells>
  <conditionalFormatting sqref="C4:D6">
    <cfRule type="cellIs" dxfId="2" priority="2" operator="equal">
      <formula>1</formula>
    </cfRule>
    <cfRule type="cellIs" dxfId="1" priority="3" operator="equal">
      <formula>2</formula>
    </cfRule>
    <cfRule type="cellIs" dxfId="0" priority="4" operator="equal">
      <formula>3</formula>
    </cfRule>
  </conditionalFormatting>
  <dataValidations count="1">
    <dataValidation type="whole" allowBlank="1" errorTitle="Valeur invalide" error="Veuillez entrer une valeur entière entre 0 et 3." promptTitle="Valeur (0-3)" prompt="Entrez 0, 1, 2 ou 3." sqref="C4:D8 C9:C13" xr:uid="{00000000-0002-0000-0400-000000000000}">
      <formula1>0</formula1>
      <formula2>3</formula2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46C0A"/>
    <pageSetUpPr fitToPage="1"/>
  </sheetPr>
  <dimension ref="A1:L26"/>
  <sheetViews>
    <sheetView zoomScaleNormal="100" workbookViewId="0">
      <pane ySplit="4" topLeftCell="A5" activePane="bottomLeft" state="frozen"/>
      <selection pane="bottomLeft" activeCell="G17" sqref="G17"/>
    </sheetView>
  </sheetViews>
  <sheetFormatPr baseColWidth="10" defaultColWidth="8.88671875" defaultRowHeight="14.4" x14ac:dyDescent="0.3"/>
  <cols>
    <col min="1" max="1" width="23.6640625" customWidth="1"/>
    <col min="2" max="2" width="12.33203125" customWidth="1"/>
    <col min="3" max="3" width="11.88671875" customWidth="1"/>
    <col min="4" max="5" width="12.33203125" customWidth="1"/>
    <col min="7" max="7" width="11.88671875" customWidth="1"/>
  </cols>
  <sheetData>
    <row r="1" spans="1:12" ht="18" customHeight="1" x14ac:dyDescent="0.35">
      <c r="A1" s="73" t="s">
        <v>94</v>
      </c>
      <c r="B1" s="73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3">
      <c r="A3" s="13" t="s">
        <v>95</v>
      </c>
      <c r="B3" s="74"/>
      <c r="C3" s="74"/>
      <c r="D3" s="74"/>
      <c r="E3" s="4"/>
      <c r="F3" s="4"/>
      <c r="G3" s="13" t="s">
        <v>96</v>
      </c>
      <c r="H3" s="74"/>
      <c r="I3" s="74"/>
      <c r="J3" s="74"/>
      <c r="K3" s="74"/>
      <c r="L3" s="74"/>
    </row>
    <row r="4" spans="1:12" x14ac:dyDescent="0.3">
      <c r="A4" s="13" t="s">
        <v>97</v>
      </c>
      <c r="B4" s="74"/>
      <c r="C4" s="74"/>
      <c r="D4" s="74"/>
      <c r="E4" s="4"/>
      <c r="F4" s="4"/>
      <c r="G4" s="13" t="s">
        <v>98</v>
      </c>
      <c r="H4" s="74" t="s">
        <v>99</v>
      </c>
      <c r="I4" s="74"/>
      <c r="J4" s="74"/>
      <c r="K4" s="74"/>
      <c r="L4" s="74"/>
    </row>
    <row r="5" spans="1:12" ht="1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5" customHeight="1" x14ac:dyDescent="0.3">
      <c r="A6" s="4"/>
      <c r="B6" s="71" t="s">
        <v>2</v>
      </c>
      <c r="C6" s="71"/>
      <c r="D6" s="71"/>
      <c r="E6" s="72" t="s">
        <v>3</v>
      </c>
      <c r="F6" s="72"/>
      <c r="G6" s="72"/>
      <c r="H6" s="4"/>
      <c r="I6" s="4"/>
      <c r="J6" s="4"/>
      <c r="K6" s="4"/>
      <c r="L6" s="4"/>
    </row>
    <row r="7" spans="1:12" x14ac:dyDescent="0.3">
      <c r="A7" s="14" t="s">
        <v>100</v>
      </c>
      <c r="B7" s="15" t="s">
        <v>101</v>
      </c>
      <c r="C7" s="16" t="s">
        <v>102</v>
      </c>
      <c r="D7" s="17" t="s">
        <v>103</v>
      </c>
      <c r="E7" s="18" t="s">
        <v>101</v>
      </c>
      <c r="F7" s="16" t="s">
        <v>102</v>
      </c>
      <c r="G7" s="17" t="s">
        <v>103</v>
      </c>
      <c r="H7" s="4"/>
      <c r="I7" s="4"/>
      <c r="J7" s="4"/>
      <c r="K7" s="4"/>
      <c r="L7" s="4"/>
    </row>
    <row r="8" spans="1:12" x14ac:dyDescent="0.3">
      <c r="A8" s="19" t="s">
        <v>104</v>
      </c>
      <c r="B8" s="20">
        <f>A_Inattention!C16</f>
        <v>0</v>
      </c>
      <c r="C8" s="21">
        <v>30</v>
      </c>
      <c r="D8" s="22">
        <f>IFERROR(ROUND(B8/30,2),"")</f>
        <v>0</v>
      </c>
      <c r="E8" s="23">
        <f>A_Inattention!D16</f>
        <v>0</v>
      </c>
      <c r="F8" s="21">
        <v>30</v>
      </c>
      <c r="G8" s="22">
        <f>IFERROR(ROUND(E8/30,2),"")</f>
        <v>0</v>
      </c>
      <c r="H8" s="4"/>
      <c r="I8" s="4"/>
      <c r="J8" s="4"/>
      <c r="K8" s="4"/>
      <c r="L8" s="4"/>
    </row>
    <row r="9" spans="1:12" x14ac:dyDescent="0.3">
      <c r="A9" s="24" t="s">
        <v>105</v>
      </c>
      <c r="B9" s="25">
        <f>B_HyperImpuls!C13</f>
        <v>0</v>
      </c>
      <c r="C9" s="26">
        <v>24</v>
      </c>
      <c r="D9" s="27">
        <f>IFERROR(ROUND(B9/24,2),"")</f>
        <v>0</v>
      </c>
      <c r="E9" s="28">
        <f>B_HyperImpuls!D13</f>
        <v>0</v>
      </c>
      <c r="F9" s="26">
        <v>24</v>
      </c>
      <c r="G9" s="27">
        <f>IFERROR(ROUND(E9/24,2),"")</f>
        <v>0</v>
      </c>
      <c r="H9" s="4"/>
      <c r="I9" s="4"/>
      <c r="J9" s="4"/>
      <c r="K9" s="4"/>
      <c r="L9" s="4"/>
    </row>
    <row r="10" spans="1:12" ht="15" customHeight="1" x14ac:dyDescent="0.3">
      <c r="A10" s="19" t="s">
        <v>106</v>
      </c>
      <c r="B10" s="20">
        <f>E_Impact!C8</f>
        <v>0</v>
      </c>
      <c r="C10" s="21">
        <v>9</v>
      </c>
      <c r="D10" s="29">
        <f>IFERROR(ROUND(B10/9,2),"")</f>
        <v>0</v>
      </c>
      <c r="E10" s="23">
        <f>E_Impact!D8</f>
        <v>0</v>
      </c>
      <c r="F10" s="21">
        <v>9</v>
      </c>
      <c r="G10" s="29">
        <f>IFERROR(ROUND(E10/9,2),"")</f>
        <v>0</v>
      </c>
      <c r="H10" s="4"/>
      <c r="I10" s="4"/>
      <c r="J10" s="4"/>
      <c r="K10" s="4"/>
      <c r="L10" s="4"/>
    </row>
    <row r="11" spans="1:12" ht="1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5" customHeight="1" x14ac:dyDescent="0.3">
      <c r="A12" s="4"/>
      <c r="B12" s="71" t="s">
        <v>2</v>
      </c>
      <c r="C12" s="71"/>
      <c r="D12" s="71"/>
      <c r="E12" s="72" t="s">
        <v>3</v>
      </c>
      <c r="F12" s="72"/>
      <c r="G12" s="72"/>
      <c r="H12" s="4"/>
      <c r="I12" s="4"/>
      <c r="J12" s="4"/>
      <c r="K12" s="4"/>
      <c r="L12" s="4"/>
    </row>
    <row r="13" spans="1:12" x14ac:dyDescent="0.3">
      <c r="A13" s="30" t="s">
        <v>107</v>
      </c>
      <c r="B13" s="31"/>
      <c r="C13" s="31"/>
      <c r="D13" s="17" t="s">
        <v>103</v>
      </c>
      <c r="E13" s="31"/>
      <c r="F13" s="31"/>
      <c r="G13" s="17" t="s">
        <v>103</v>
      </c>
      <c r="H13" s="4"/>
      <c r="I13" s="4"/>
      <c r="J13" s="4"/>
      <c r="K13" s="4"/>
      <c r="L13" s="4"/>
    </row>
    <row r="14" spans="1:12" x14ac:dyDescent="0.3">
      <c r="A14" s="32" t="s">
        <v>108</v>
      </c>
      <c r="B14" s="20">
        <f>A_Inattention!C10+A_Inattention!C14+C_Devoirs!C4+C_Devoirs!C11</f>
        <v>0</v>
      </c>
      <c r="C14" s="21">
        <v>12</v>
      </c>
      <c r="D14" s="22">
        <f>IFERROR(ROUND(B14/12,2),"")</f>
        <v>0</v>
      </c>
      <c r="E14" s="23">
        <f>A_Inattention!D10+A_Inattention!D14+C_Devoirs!D4+C_Devoirs!D11</f>
        <v>0</v>
      </c>
      <c r="F14" s="21">
        <v>12</v>
      </c>
      <c r="G14" s="22">
        <f>IFERROR(ROUND(E14/12,2),"")</f>
        <v>0</v>
      </c>
      <c r="H14" s="4"/>
      <c r="I14" s="4"/>
      <c r="J14" s="4"/>
      <c r="K14" s="4"/>
      <c r="L14" s="4"/>
    </row>
    <row r="15" spans="1:12" x14ac:dyDescent="0.3">
      <c r="A15" s="33" t="s">
        <v>109</v>
      </c>
      <c r="B15" s="25">
        <f>A_Inattention!C9+A_Inattention!C11+A_Inattention!C13+C_Devoirs!C10+C_Devoirs!C8</f>
        <v>0</v>
      </c>
      <c r="C15" s="26">
        <v>15</v>
      </c>
      <c r="D15" s="27">
        <f>IFERROR(ROUND(B15/15,2),"")</f>
        <v>0</v>
      </c>
      <c r="E15" s="28">
        <f>A_Inattention!D9+A_Inattention!D11+A_Inattention!D13+C_Devoirs!D10+C_Devoirs!D8</f>
        <v>0</v>
      </c>
      <c r="F15" s="26">
        <v>15</v>
      </c>
      <c r="G15" s="27">
        <f>IFERROR(ROUND(E15/15,2),"")</f>
        <v>0</v>
      </c>
      <c r="H15" s="4"/>
      <c r="I15" s="4"/>
      <c r="J15" s="4"/>
      <c r="K15" s="4"/>
      <c r="L15" s="4"/>
    </row>
    <row r="16" spans="1:12" x14ac:dyDescent="0.3">
      <c r="A16" s="19" t="s">
        <v>110</v>
      </c>
      <c r="B16" s="20">
        <f>C_Devoirs!C14</f>
        <v>0</v>
      </c>
      <c r="C16" s="21">
        <v>27</v>
      </c>
      <c r="D16" s="22">
        <f>IFERROR(ROUND(B16/27,2),"")</f>
        <v>0</v>
      </c>
      <c r="E16" s="23">
        <f>C_Devoirs!D14</f>
        <v>0</v>
      </c>
      <c r="F16" s="21">
        <v>27</v>
      </c>
      <c r="G16" s="22">
        <f>IFERROR(ROUND(E16/27,2),"")</f>
        <v>0</v>
      </c>
      <c r="H16" s="4"/>
      <c r="I16" s="4"/>
      <c r="J16" s="4"/>
      <c r="K16" s="4"/>
      <c r="L16" s="4"/>
    </row>
    <row r="17" spans="1:12" ht="15" customHeight="1" x14ac:dyDescent="0.3">
      <c r="A17" s="19" t="s">
        <v>111</v>
      </c>
      <c r="B17" s="20">
        <f>D_Réactions_confrontation!C15</f>
        <v>0</v>
      </c>
      <c r="C17" s="21">
        <v>30</v>
      </c>
      <c r="D17" s="34">
        <f>IFERROR(ROUND(B17/30,2),"")</f>
        <v>0</v>
      </c>
      <c r="E17" s="20">
        <f>D_Réactions_confrontation!D15</f>
        <v>0</v>
      </c>
      <c r="F17" s="35">
        <v>30</v>
      </c>
      <c r="G17" s="34">
        <f>IFERROR(ROUND(E17/30,2),"")</f>
        <v>0</v>
      </c>
      <c r="H17" s="4"/>
      <c r="I17" s="4"/>
      <c r="J17" s="4"/>
      <c r="K17" s="4"/>
      <c r="L17" s="4"/>
    </row>
    <row r="18" spans="1:12" ht="1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36" t="s">
        <v>112</v>
      </c>
      <c r="B19" s="37" t="s">
        <v>2</v>
      </c>
      <c r="C19" s="38" t="s">
        <v>3</v>
      </c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39" t="s">
        <v>104</v>
      </c>
      <c r="B20" s="40">
        <f>D8</f>
        <v>0</v>
      </c>
      <c r="C20" s="41">
        <f>G8</f>
        <v>0</v>
      </c>
      <c r="D20" s="4" t="s">
        <v>113</v>
      </c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2" t="s">
        <v>105</v>
      </c>
      <c r="B21" s="43">
        <f>D9</f>
        <v>0</v>
      </c>
      <c r="C21" s="44">
        <f>G9</f>
        <v>0</v>
      </c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39" t="s">
        <v>110</v>
      </c>
      <c r="B22" s="40">
        <f>D16</f>
        <v>0</v>
      </c>
      <c r="C22" s="41">
        <f>G16</f>
        <v>0</v>
      </c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2" t="s">
        <v>106</v>
      </c>
      <c r="B23" s="43">
        <f>D10</f>
        <v>0</v>
      </c>
      <c r="C23" s="44">
        <f>G10</f>
        <v>0</v>
      </c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39" t="s">
        <v>108</v>
      </c>
      <c r="B24" s="40">
        <f>D14</f>
        <v>0</v>
      </c>
      <c r="C24" s="41">
        <f>G14</f>
        <v>0</v>
      </c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42" t="s">
        <v>109</v>
      </c>
      <c r="B25" s="43">
        <f>D15</f>
        <v>0</v>
      </c>
      <c r="C25" s="44">
        <f>G15</f>
        <v>0</v>
      </c>
      <c r="D25" s="4"/>
      <c r="E25" s="4"/>
      <c r="F25" s="4"/>
      <c r="G25" s="4"/>
      <c r="H25" s="4"/>
      <c r="I25" s="4"/>
      <c r="J25" s="4"/>
      <c r="K25" s="4"/>
      <c r="L25" s="4"/>
    </row>
    <row r="26" spans="1:12" ht="15" customHeight="1" x14ac:dyDescent="0.3">
      <c r="A26" s="39" t="s">
        <v>111</v>
      </c>
      <c r="B26" s="45">
        <f>D17</f>
        <v>0</v>
      </c>
      <c r="C26" s="46">
        <f>G17</f>
        <v>0</v>
      </c>
      <c r="D26" s="4"/>
      <c r="E26" s="4"/>
      <c r="F26" s="4"/>
      <c r="G26" s="4"/>
      <c r="H26" s="4"/>
      <c r="I26" s="4"/>
      <c r="J26" s="4"/>
      <c r="K26" s="4"/>
      <c r="L26" s="4"/>
    </row>
  </sheetData>
  <mergeCells count="9">
    <mergeCell ref="H3:L3"/>
    <mergeCell ref="B4:D4"/>
    <mergeCell ref="H4:L4"/>
    <mergeCell ref="B6:D6"/>
    <mergeCell ref="E6:G6"/>
    <mergeCell ref="B12:D12"/>
    <mergeCell ref="E12:G12"/>
    <mergeCell ref="A1:B1"/>
    <mergeCell ref="B3:D3"/>
  </mergeCells>
  <pageMargins left="0.75" right="0.75" top="1" bottom="1" header="0.511811023622047" footer="0.511811023622047"/>
  <pageSetup paperSize="9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E17"/>
  <sheetViews>
    <sheetView zoomScaleNormal="100" workbookViewId="0">
      <pane ySplit="4" topLeftCell="A5" activePane="bottomLeft" state="frozen"/>
      <selection pane="bottomLeft" sqref="A1:E1"/>
    </sheetView>
  </sheetViews>
  <sheetFormatPr baseColWidth="10" defaultColWidth="8.88671875" defaultRowHeight="14.4" x14ac:dyDescent="0.3"/>
  <cols>
    <col min="1" max="1" width="26.6640625" customWidth="1"/>
    <col min="2" max="4" width="14" customWidth="1"/>
    <col min="5" max="5" width="56.5546875" customWidth="1"/>
  </cols>
  <sheetData>
    <row r="1" spans="1:5" ht="18" customHeight="1" x14ac:dyDescent="0.35">
      <c r="A1" s="76" t="s">
        <v>114</v>
      </c>
      <c r="B1" s="76"/>
      <c r="C1" s="76"/>
      <c r="D1" s="76"/>
      <c r="E1" s="76"/>
    </row>
    <row r="2" spans="1:5" x14ac:dyDescent="0.3">
      <c r="A2" s="4"/>
      <c r="B2" s="4"/>
      <c r="C2" s="4"/>
      <c r="D2" s="4"/>
      <c r="E2" s="4"/>
    </row>
    <row r="3" spans="1:5" x14ac:dyDescent="0.3">
      <c r="A3" s="47" t="s">
        <v>115</v>
      </c>
      <c r="B3" s="4"/>
      <c r="C3" s="4"/>
      <c r="D3" s="4"/>
      <c r="E3" s="4"/>
    </row>
    <row r="4" spans="1:5" x14ac:dyDescent="0.3">
      <c r="A4" s="48" t="s">
        <v>112</v>
      </c>
      <c r="B4" s="48" t="s">
        <v>116</v>
      </c>
      <c r="C4" s="48" t="s">
        <v>117</v>
      </c>
      <c r="D4" s="48" t="s">
        <v>118</v>
      </c>
      <c r="E4" s="48" t="s">
        <v>119</v>
      </c>
    </row>
    <row r="5" spans="1:5" x14ac:dyDescent="0.3">
      <c r="A5" s="49" t="s">
        <v>120</v>
      </c>
      <c r="B5" s="50" t="s">
        <v>121</v>
      </c>
      <c r="C5" s="50" t="s">
        <v>122</v>
      </c>
      <c r="D5" s="50" t="s">
        <v>123</v>
      </c>
      <c r="E5" s="49" t="s">
        <v>124</v>
      </c>
    </row>
    <row r="6" spans="1:5" x14ac:dyDescent="0.3">
      <c r="A6" s="51" t="s">
        <v>125</v>
      </c>
      <c r="B6" s="52" t="s">
        <v>126</v>
      </c>
      <c r="C6" s="52" t="s">
        <v>127</v>
      </c>
      <c r="D6" s="52" t="s">
        <v>128</v>
      </c>
      <c r="E6" s="51" t="s">
        <v>129</v>
      </c>
    </row>
    <row r="7" spans="1:5" x14ac:dyDescent="0.3">
      <c r="A7" s="49" t="s">
        <v>130</v>
      </c>
      <c r="B7" s="50" t="s">
        <v>131</v>
      </c>
      <c r="C7" s="50" t="s">
        <v>132</v>
      </c>
      <c r="D7" s="50" t="s">
        <v>133</v>
      </c>
      <c r="E7" s="49" t="s">
        <v>134</v>
      </c>
    </row>
    <row r="8" spans="1:5" x14ac:dyDescent="0.3">
      <c r="A8" s="51" t="s">
        <v>135</v>
      </c>
      <c r="B8" s="52" t="s">
        <v>136</v>
      </c>
      <c r="C8" s="52" t="s">
        <v>137</v>
      </c>
      <c r="D8" s="52" t="s">
        <v>138</v>
      </c>
      <c r="E8" s="51" t="s">
        <v>139</v>
      </c>
    </row>
    <row r="9" spans="1:5" x14ac:dyDescent="0.3">
      <c r="A9" s="49" t="s">
        <v>140</v>
      </c>
      <c r="B9" s="50" t="s">
        <v>141</v>
      </c>
      <c r="C9" s="50" t="s">
        <v>142</v>
      </c>
      <c r="D9" s="50" t="s">
        <v>143</v>
      </c>
      <c r="E9" s="49" t="s">
        <v>144</v>
      </c>
    </row>
    <row r="10" spans="1:5" x14ac:dyDescent="0.3">
      <c r="A10" s="51" t="s">
        <v>145</v>
      </c>
      <c r="B10" s="52" t="s">
        <v>146</v>
      </c>
      <c r="C10" s="52" t="s">
        <v>147</v>
      </c>
      <c r="D10" s="52" t="s">
        <v>148</v>
      </c>
      <c r="E10" s="51" t="s">
        <v>149</v>
      </c>
    </row>
    <row r="11" spans="1:5" ht="15" customHeight="1" x14ac:dyDescent="0.3">
      <c r="A11" s="49" t="s">
        <v>150</v>
      </c>
      <c r="B11" s="50" t="s">
        <v>151</v>
      </c>
      <c r="C11" s="53" t="s">
        <v>152</v>
      </c>
      <c r="D11" s="50" t="s">
        <v>153</v>
      </c>
      <c r="E11" s="49" t="s">
        <v>154</v>
      </c>
    </row>
    <row r="12" spans="1:5" x14ac:dyDescent="0.3">
      <c r="A12" s="4"/>
      <c r="B12" s="4"/>
      <c r="C12" s="4"/>
      <c r="D12" s="4"/>
      <c r="E12" s="4"/>
    </row>
    <row r="13" spans="1:5" x14ac:dyDescent="0.3">
      <c r="A13" s="77" t="s">
        <v>155</v>
      </c>
      <c r="B13" s="77"/>
      <c r="C13" s="77"/>
      <c r="D13" s="77"/>
      <c r="E13" s="77"/>
    </row>
    <row r="14" spans="1:5" x14ac:dyDescent="0.3">
      <c r="A14" s="78" t="s">
        <v>156</v>
      </c>
      <c r="B14" s="78"/>
      <c r="C14" s="78"/>
      <c r="D14" s="78"/>
      <c r="E14" s="78"/>
    </row>
    <row r="15" spans="1:5" x14ac:dyDescent="0.3">
      <c r="A15" s="75" t="s">
        <v>157</v>
      </c>
      <c r="B15" s="75"/>
      <c r="C15" s="75"/>
      <c r="D15" s="75"/>
      <c r="E15" s="75"/>
    </row>
    <row r="16" spans="1:5" ht="33" customHeight="1" x14ac:dyDescent="0.3">
      <c r="A16" s="79" t="s">
        <v>158</v>
      </c>
      <c r="B16" s="79"/>
      <c r="C16" s="79"/>
      <c r="D16" s="79"/>
      <c r="E16" s="79"/>
    </row>
    <row r="17" spans="1:5" x14ac:dyDescent="0.3">
      <c r="A17" s="75" t="s">
        <v>159</v>
      </c>
      <c r="B17" s="75"/>
      <c r="C17" s="75"/>
      <c r="D17" s="75"/>
      <c r="E17" s="75"/>
    </row>
  </sheetData>
  <mergeCells count="6">
    <mergeCell ref="A17:E17"/>
    <mergeCell ref="A1:E1"/>
    <mergeCell ref="A13:E13"/>
    <mergeCell ref="A14:E14"/>
    <mergeCell ref="A15:E15"/>
    <mergeCell ref="A16:E16"/>
  </mergeCells>
  <pageMargins left="0.75" right="0.75" top="1" bottom="1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504D"/>
  </sheetPr>
  <dimension ref="A1:D48"/>
  <sheetViews>
    <sheetView tabSelected="1" zoomScaleNormal="100" workbookViewId="0">
      <pane ySplit="4" topLeftCell="A5" activePane="bottomLeft" state="frozen"/>
      <selection pane="bottomLeft" activeCell="E24" sqref="E24"/>
    </sheetView>
  </sheetViews>
  <sheetFormatPr baseColWidth="10" defaultColWidth="8.88671875" defaultRowHeight="14.4" x14ac:dyDescent="0.3"/>
  <cols>
    <col min="1" max="1" width="26" customWidth="1"/>
    <col min="2" max="2" width="90" customWidth="1"/>
    <col min="3" max="3" width="16" customWidth="1"/>
    <col min="4" max="4" width="45" customWidth="1"/>
  </cols>
  <sheetData>
    <row r="1" spans="1:4" ht="18" customHeight="1" x14ac:dyDescent="0.35">
      <c r="A1" s="67" t="s">
        <v>160</v>
      </c>
      <c r="B1" s="67"/>
      <c r="C1" s="4"/>
      <c r="D1" s="4"/>
    </row>
    <row r="2" spans="1:4" x14ac:dyDescent="0.3">
      <c r="A2" s="4"/>
      <c r="B2" s="4"/>
      <c r="C2" s="4"/>
      <c r="D2" s="4"/>
    </row>
    <row r="3" spans="1:4" ht="29.25" customHeight="1" x14ac:dyDescent="0.3">
      <c r="A3" s="68" t="s">
        <v>161</v>
      </c>
      <c r="B3" s="68"/>
      <c r="C3" s="4"/>
      <c r="D3" s="4"/>
    </row>
    <row r="4" spans="1:4" x14ac:dyDescent="0.3">
      <c r="A4" s="11" t="s">
        <v>162</v>
      </c>
      <c r="B4" s="11" t="s">
        <v>163</v>
      </c>
      <c r="C4" s="11" t="s">
        <v>164</v>
      </c>
      <c r="D4" s="11" t="s">
        <v>165</v>
      </c>
    </row>
    <row r="5" spans="1:4" x14ac:dyDescent="0.3">
      <c r="A5" s="4" t="s">
        <v>166</v>
      </c>
      <c r="B5" s="4" t="s">
        <v>167</v>
      </c>
      <c r="C5" s="4"/>
      <c r="D5" s="4"/>
    </row>
    <row r="6" spans="1:4" x14ac:dyDescent="0.3">
      <c r="A6" s="4" t="s">
        <v>166</v>
      </c>
      <c r="B6" s="4" t="s">
        <v>168</v>
      </c>
      <c r="C6" s="4"/>
      <c r="D6" s="4"/>
    </row>
    <row r="7" spans="1:4" x14ac:dyDescent="0.3">
      <c r="A7" s="4" t="s">
        <v>166</v>
      </c>
      <c r="B7" s="4" t="s">
        <v>169</v>
      </c>
      <c r="C7" s="4"/>
      <c r="D7" s="4"/>
    </row>
    <row r="8" spans="1:4" x14ac:dyDescent="0.3">
      <c r="A8" s="4" t="s">
        <v>166</v>
      </c>
      <c r="B8" s="4" t="s">
        <v>170</v>
      </c>
      <c r="C8" s="4"/>
      <c r="D8" s="4"/>
    </row>
    <row r="9" spans="1:4" x14ac:dyDescent="0.3">
      <c r="A9" s="4" t="s">
        <v>166</v>
      </c>
      <c r="B9" s="4" t="s">
        <v>171</v>
      </c>
      <c r="C9" s="4"/>
      <c r="D9" s="4"/>
    </row>
    <row r="10" spans="1:4" x14ac:dyDescent="0.3">
      <c r="A10" s="4" t="s">
        <v>166</v>
      </c>
      <c r="B10" s="4" t="s">
        <v>172</v>
      </c>
      <c r="C10" s="4"/>
      <c r="D10" s="4"/>
    </row>
    <row r="11" spans="1:4" x14ac:dyDescent="0.3">
      <c r="A11" s="4" t="s">
        <v>173</v>
      </c>
      <c r="B11" s="4" t="s">
        <v>174</v>
      </c>
      <c r="C11" s="4"/>
      <c r="D11" s="4"/>
    </row>
    <row r="12" spans="1:4" x14ac:dyDescent="0.3">
      <c r="A12" s="4" t="s">
        <v>173</v>
      </c>
      <c r="B12" s="4" t="s">
        <v>175</v>
      </c>
      <c r="C12" s="4"/>
      <c r="D12" s="4"/>
    </row>
    <row r="13" spans="1:4" x14ac:dyDescent="0.3">
      <c r="A13" s="4" t="s">
        <v>173</v>
      </c>
      <c r="B13" s="4" t="s">
        <v>176</v>
      </c>
      <c r="C13" s="4"/>
      <c r="D13" s="4"/>
    </row>
    <row r="14" spans="1:4" x14ac:dyDescent="0.3">
      <c r="A14" s="4" t="s">
        <v>173</v>
      </c>
      <c r="B14" s="4" t="s">
        <v>177</v>
      </c>
      <c r="C14" s="4"/>
      <c r="D14" s="4"/>
    </row>
    <row r="15" spans="1:4" x14ac:dyDescent="0.3">
      <c r="A15" s="4" t="s">
        <v>173</v>
      </c>
      <c r="B15" s="4" t="s">
        <v>178</v>
      </c>
      <c r="C15" s="4"/>
      <c r="D15" s="4"/>
    </row>
    <row r="16" spans="1:4" x14ac:dyDescent="0.3">
      <c r="A16" s="4" t="s">
        <v>179</v>
      </c>
      <c r="B16" s="4" t="s">
        <v>180</v>
      </c>
      <c r="C16" s="4"/>
      <c r="D16" s="4"/>
    </row>
    <row r="17" spans="1:4" x14ac:dyDescent="0.3">
      <c r="A17" s="4" t="s">
        <v>179</v>
      </c>
      <c r="B17" s="4" t="s">
        <v>181</v>
      </c>
      <c r="C17" s="4"/>
      <c r="D17" s="4"/>
    </row>
    <row r="18" spans="1:4" x14ac:dyDescent="0.3">
      <c r="A18" s="4" t="s">
        <v>179</v>
      </c>
      <c r="B18" s="4" t="s">
        <v>182</v>
      </c>
      <c r="C18" s="4"/>
      <c r="D18" s="4"/>
    </row>
    <row r="19" spans="1:4" x14ac:dyDescent="0.3">
      <c r="A19" s="4" t="s">
        <v>179</v>
      </c>
      <c r="B19" s="4" t="s">
        <v>183</v>
      </c>
      <c r="C19" s="4"/>
      <c r="D19" s="4"/>
    </row>
    <row r="20" spans="1:4" x14ac:dyDescent="0.3">
      <c r="A20" s="4" t="s">
        <v>184</v>
      </c>
      <c r="B20" s="4" t="s">
        <v>185</v>
      </c>
      <c r="C20" s="4"/>
      <c r="D20" s="4"/>
    </row>
    <row r="21" spans="1:4" x14ac:dyDescent="0.3">
      <c r="A21" s="4" t="s">
        <v>184</v>
      </c>
      <c r="B21" s="4" t="s">
        <v>186</v>
      </c>
      <c r="C21" s="4"/>
      <c r="D21" s="4"/>
    </row>
    <row r="22" spans="1:4" x14ac:dyDescent="0.3">
      <c r="A22" s="4" t="s">
        <v>184</v>
      </c>
      <c r="B22" s="4" t="s">
        <v>187</v>
      </c>
      <c r="C22" s="4"/>
      <c r="D22" s="4"/>
    </row>
    <row r="23" spans="1:4" x14ac:dyDescent="0.3">
      <c r="A23" s="4" t="s">
        <v>184</v>
      </c>
      <c r="B23" s="4" t="s">
        <v>188</v>
      </c>
      <c r="C23" s="4"/>
      <c r="D23" s="4"/>
    </row>
    <row r="24" spans="1:4" x14ac:dyDescent="0.3">
      <c r="A24" s="4" t="s">
        <v>184</v>
      </c>
      <c r="B24" s="4" t="s">
        <v>189</v>
      </c>
      <c r="C24" s="4"/>
      <c r="D24" s="4"/>
    </row>
    <row r="25" spans="1:4" x14ac:dyDescent="0.3">
      <c r="A25" s="4" t="s">
        <v>184</v>
      </c>
      <c r="B25" s="4" t="s">
        <v>190</v>
      </c>
      <c r="C25" s="4"/>
      <c r="D25" s="4"/>
    </row>
    <row r="26" spans="1:4" x14ac:dyDescent="0.3">
      <c r="A26" s="4" t="s">
        <v>191</v>
      </c>
      <c r="B26" s="4" t="s">
        <v>192</v>
      </c>
      <c r="C26" s="4"/>
      <c r="D26" s="4"/>
    </row>
    <row r="27" spans="1:4" x14ac:dyDescent="0.3">
      <c r="A27" s="4" t="s">
        <v>191</v>
      </c>
      <c r="B27" s="4" t="s">
        <v>193</v>
      </c>
      <c r="C27" s="4"/>
      <c r="D27" s="4"/>
    </row>
    <row r="28" spans="1:4" x14ac:dyDescent="0.3">
      <c r="A28" s="4" t="s">
        <v>191</v>
      </c>
      <c r="B28" s="4" t="s">
        <v>194</v>
      </c>
      <c r="C28" s="4"/>
      <c r="D28" s="4"/>
    </row>
    <row r="29" spans="1:4" x14ac:dyDescent="0.3">
      <c r="A29" s="4" t="s">
        <v>191</v>
      </c>
      <c r="B29" s="4" t="s">
        <v>195</v>
      </c>
      <c r="C29" s="4"/>
      <c r="D29" s="4"/>
    </row>
    <row r="30" spans="1:4" x14ac:dyDescent="0.3">
      <c r="A30" s="4" t="s">
        <v>196</v>
      </c>
      <c r="B30" s="4" t="s">
        <v>197</v>
      </c>
      <c r="C30" s="4"/>
      <c r="D30" s="4"/>
    </row>
    <row r="31" spans="1:4" x14ac:dyDescent="0.3">
      <c r="A31" s="4" t="s">
        <v>196</v>
      </c>
      <c r="B31" s="4" t="s">
        <v>198</v>
      </c>
      <c r="C31" s="4"/>
      <c r="D31" s="4"/>
    </row>
    <row r="32" spans="1:4" x14ac:dyDescent="0.3">
      <c r="A32" s="4" t="s">
        <v>196</v>
      </c>
      <c r="B32" s="4" t="s">
        <v>199</v>
      </c>
      <c r="C32" s="4"/>
      <c r="D32" s="4"/>
    </row>
    <row r="33" spans="1:4" x14ac:dyDescent="0.3">
      <c r="A33" s="4" t="s">
        <v>196</v>
      </c>
      <c r="B33" s="4" t="s">
        <v>200</v>
      </c>
      <c r="C33" s="4"/>
      <c r="D33" s="4"/>
    </row>
    <row r="34" spans="1:4" x14ac:dyDescent="0.3">
      <c r="A34" s="4" t="s">
        <v>201</v>
      </c>
      <c r="B34" s="4" t="s">
        <v>202</v>
      </c>
      <c r="C34" s="4"/>
      <c r="D34" s="4"/>
    </row>
    <row r="35" spans="1:4" x14ac:dyDescent="0.3">
      <c r="A35" s="4" t="s">
        <v>201</v>
      </c>
      <c r="B35" s="4" t="s">
        <v>203</v>
      </c>
      <c r="C35" s="4"/>
      <c r="D35" s="4"/>
    </row>
    <row r="36" spans="1:4" x14ac:dyDescent="0.3">
      <c r="A36" s="4" t="s">
        <v>201</v>
      </c>
      <c r="B36" s="4" t="s">
        <v>204</v>
      </c>
      <c r="C36" s="4"/>
      <c r="D36" s="4"/>
    </row>
    <row r="37" spans="1:4" x14ac:dyDescent="0.3">
      <c r="A37" s="4"/>
      <c r="B37" s="4"/>
      <c r="C37" s="4"/>
      <c r="D37" s="4"/>
    </row>
    <row r="38" spans="1:4" x14ac:dyDescent="0.3">
      <c r="A38" s="54" t="s">
        <v>205</v>
      </c>
      <c r="B38" s="4"/>
      <c r="C38" s="4"/>
      <c r="D38" s="4"/>
    </row>
    <row r="39" spans="1:4" x14ac:dyDescent="0.3">
      <c r="A39" s="69"/>
      <c r="B39" s="69"/>
      <c r="C39" s="4"/>
      <c r="D39" s="4"/>
    </row>
    <row r="40" spans="1:4" x14ac:dyDescent="0.3">
      <c r="A40" s="69"/>
      <c r="B40" s="69"/>
      <c r="C40" s="4"/>
      <c r="D40" s="4"/>
    </row>
    <row r="41" spans="1:4" x14ac:dyDescent="0.3">
      <c r="A41" s="69"/>
      <c r="B41" s="69"/>
      <c r="C41" s="4"/>
      <c r="D41" s="4"/>
    </row>
    <row r="42" spans="1:4" x14ac:dyDescent="0.3">
      <c r="A42" s="69"/>
      <c r="B42" s="69"/>
      <c r="C42" s="4"/>
      <c r="D42" s="4"/>
    </row>
    <row r="43" spans="1:4" x14ac:dyDescent="0.3">
      <c r="A43" s="69"/>
      <c r="B43" s="69"/>
      <c r="C43" s="4"/>
      <c r="D43" s="4"/>
    </row>
    <row r="44" spans="1:4" x14ac:dyDescent="0.3">
      <c r="A44" s="69"/>
      <c r="B44" s="69"/>
      <c r="C44" s="4"/>
      <c r="D44" s="4"/>
    </row>
    <row r="45" spans="1:4" x14ac:dyDescent="0.3">
      <c r="A45" s="69"/>
      <c r="B45" s="69"/>
      <c r="C45" s="4"/>
      <c r="D45" s="4"/>
    </row>
    <row r="46" spans="1:4" x14ac:dyDescent="0.3">
      <c r="A46" s="69"/>
      <c r="B46" s="69"/>
      <c r="C46" s="4"/>
      <c r="D46" s="4"/>
    </row>
    <row r="47" spans="1:4" x14ac:dyDescent="0.3">
      <c r="A47" s="69"/>
      <c r="B47" s="69"/>
      <c r="C47" s="4"/>
      <c r="D47" s="4"/>
    </row>
    <row r="48" spans="1:4" x14ac:dyDescent="0.3">
      <c r="A48" s="69"/>
      <c r="B48" s="69"/>
      <c r="C48" s="4"/>
      <c r="D48" s="4"/>
    </row>
  </sheetData>
  <mergeCells count="3">
    <mergeCell ref="A1:B1"/>
    <mergeCell ref="A3:B3"/>
    <mergeCell ref="A39:B48"/>
  </mergeCells>
  <dataValidations count="1">
    <dataValidation type="whole" allowBlank="1" promptTitle="Présence de la ressource" prompt="0 = Non observée | 1 = Occasionnelle | 2 = Souvent | 3 = Fréquente / solide" sqref="C5:C36" xr:uid="{00000000-0002-0000-0700-000000000000}">
      <formula1>0</formula1>
      <formula2>3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A1:N74"/>
  <sheetViews>
    <sheetView zoomScaleNormal="100" workbookViewId="0">
      <pane ySplit="8" topLeftCell="A9" activePane="bottomLeft" state="frozen"/>
      <selection pane="bottomLeft" activeCell="J10" sqref="J10:N74"/>
    </sheetView>
  </sheetViews>
  <sheetFormatPr baseColWidth="10" defaultColWidth="8.88671875" defaultRowHeight="14.4" x14ac:dyDescent="0.3"/>
  <cols>
    <col min="1" max="1" width="29.109375" customWidth="1"/>
    <col min="2" max="2" width="11.33203125" customWidth="1"/>
    <col min="3" max="3" width="7.88671875" customWidth="1"/>
    <col min="4" max="4" width="4.33203125" customWidth="1"/>
    <col min="5" max="5" width="27.5546875" customWidth="1"/>
    <col min="6" max="7" width="12" customWidth="1"/>
    <col min="8" max="8" width="33.109375" customWidth="1"/>
  </cols>
  <sheetData>
    <row r="1" spans="1:14" ht="18" customHeight="1" x14ac:dyDescent="0.35">
      <c r="A1" s="67" t="s">
        <v>206</v>
      </c>
      <c r="B1" s="67"/>
      <c r="C1" s="67"/>
      <c r="D1" s="67"/>
      <c r="E1" s="67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">
      <c r="A3" s="55" t="s">
        <v>95</v>
      </c>
      <c r="B3" s="80">
        <f>Synthèse!B3</f>
        <v>0</v>
      </c>
      <c r="C3" s="80"/>
      <c r="D3" s="80"/>
      <c r="E3" s="80"/>
      <c r="F3" s="4"/>
      <c r="G3" s="4"/>
      <c r="H3" s="4"/>
      <c r="I3" s="4"/>
      <c r="J3" s="4"/>
      <c r="K3" s="4"/>
      <c r="L3" s="4"/>
      <c r="M3" s="4"/>
      <c r="N3" s="4"/>
    </row>
    <row r="4" spans="1:14" x14ac:dyDescent="0.3">
      <c r="A4" s="55" t="s">
        <v>97</v>
      </c>
      <c r="B4" s="80">
        <f>Synthèse!B4</f>
        <v>0</v>
      </c>
      <c r="C4" s="80"/>
      <c r="D4" s="80"/>
      <c r="E4" s="80"/>
      <c r="F4" s="4"/>
      <c r="G4" s="4"/>
      <c r="H4" s="4"/>
      <c r="I4" s="4"/>
      <c r="J4" s="4"/>
      <c r="K4" s="4"/>
      <c r="L4" s="4"/>
      <c r="M4" s="4"/>
      <c r="N4" s="4"/>
    </row>
    <row r="5" spans="1:14" ht="28.5" customHeight="1" x14ac:dyDescent="0.3">
      <c r="A5" s="56" t="s">
        <v>98</v>
      </c>
      <c r="B5" s="80" t="str">
        <f>Synthèse!H4</f>
        <v xml:space="preserve">Evaluation 1 :                            Evaluation 2 :             </v>
      </c>
      <c r="C5" s="80"/>
      <c r="D5" s="80"/>
      <c r="E5" s="80"/>
      <c r="F5" s="4"/>
      <c r="G5" s="4"/>
      <c r="H5" s="4"/>
      <c r="I5" s="4"/>
      <c r="J5" s="4"/>
      <c r="K5" s="4"/>
      <c r="L5" s="4"/>
      <c r="M5" s="4"/>
      <c r="N5" s="4"/>
    </row>
    <row r="6" spans="1:14" x14ac:dyDescent="0.3">
      <c r="A6" s="55" t="s">
        <v>207</v>
      </c>
      <c r="B6" s="80"/>
      <c r="C6" s="80"/>
      <c r="D6" s="80"/>
      <c r="E6" s="80"/>
      <c r="F6" s="4"/>
      <c r="G6" s="4"/>
      <c r="H6" s="4"/>
      <c r="I6" s="4"/>
      <c r="J6" s="4"/>
      <c r="K6" s="4"/>
      <c r="L6" s="4"/>
      <c r="M6" s="4"/>
      <c r="N6" s="4"/>
    </row>
    <row r="7" spans="1:14" x14ac:dyDescent="0.3">
      <c r="A7" s="55" t="s">
        <v>208</v>
      </c>
      <c r="B7" s="80"/>
      <c r="C7" s="80"/>
      <c r="D7" s="80"/>
      <c r="E7" s="80"/>
      <c r="F7" s="4"/>
      <c r="G7" s="4"/>
      <c r="H7" s="4"/>
      <c r="I7" s="4"/>
      <c r="J7" s="4"/>
      <c r="K7" s="4"/>
      <c r="L7" s="4"/>
      <c r="M7" s="4"/>
      <c r="N7" s="4"/>
    </row>
    <row r="8" spans="1:14" ht="1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5" customHeight="1" x14ac:dyDescent="0.3">
      <c r="A9" s="57" t="s">
        <v>209</v>
      </c>
      <c r="B9" s="3" t="s">
        <v>2</v>
      </c>
      <c r="C9" s="71" t="s">
        <v>3</v>
      </c>
      <c r="D9" s="71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4.25" customHeight="1" x14ac:dyDescent="0.3">
      <c r="A10" s="58" t="s">
        <v>104</v>
      </c>
      <c r="B10" s="2">
        <f>Synthèse!D8</f>
        <v>0</v>
      </c>
      <c r="C10" s="81">
        <f>Synthèse!G8</f>
        <v>0</v>
      </c>
      <c r="D10" s="81"/>
      <c r="E10" s="4"/>
      <c r="F10" s="4"/>
      <c r="G10" s="4"/>
      <c r="H10" s="4"/>
      <c r="I10" s="4"/>
      <c r="J10" s="82" t="s">
        <v>210</v>
      </c>
      <c r="K10" s="82"/>
      <c r="L10" s="82"/>
      <c r="M10" s="82"/>
      <c r="N10" s="82"/>
    </row>
    <row r="11" spans="1:14" ht="14.25" customHeight="1" x14ac:dyDescent="0.3">
      <c r="A11" s="59" t="s">
        <v>105</v>
      </c>
      <c r="B11" s="1">
        <f>Synthèse!D9</f>
        <v>0</v>
      </c>
      <c r="C11" s="83">
        <f>Synthèse!G9</f>
        <v>0</v>
      </c>
      <c r="D11" s="83"/>
      <c r="E11" s="4"/>
      <c r="F11" s="4"/>
      <c r="G11" s="4"/>
      <c r="H11" s="4"/>
      <c r="I11" s="60"/>
      <c r="J11" s="82"/>
      <c r="K11" s="82"/>
      <c r="L11" s="82"/>
      <c r="M11" s="82"/>
      <c r="N11" s="82"/>
    </row>
    <row r="12" spans="1:14" ht="14.25" customHeight="1" x14ac:dyDescent="0.3">
      <c r="A12" s="58" t="s">
        <v>110</v>
      </c>
      <c r="B12" s="2">
        <f>Synthèse!D16</f>
        <v>0</v>
      </c>
      <c r="C12" s="81">
        <f>Synthèse!G16</f>
        <v>0</v>
      </c>
      <c r="D12" s="81"/>
      <c r="E12" s="4"/>
      <c r="F12" s="4"/>
      <c r="G12" s="4"/>
      <c r="H12" s="4"/>
      <c r="I12" s="60"/>
      <c r="J12" s="82"/>
      <c r="K12" s="82"/>
      <c r="L12" s="82"/>
      <c r="M12" s="82"/>
      <c r="N12" s="82"/>
    </row>
    <row r="13" spans="1:14" ht="14.25" customHeight="1" x14ac:dyDescent="0.3">
      <c r="A13" s="59" t="s">
        <v>106</v>
      </c>
      <c r="B13" s="1">
        <f>Synthèse!D10</f>
        <v>0</v>
      </c>
      <c r="C13" s="83">
        <f>Synthèse!G10</f>
        <v>0</v>
      </c>
      <c r="D13" s="83"/>
      <c r="E13" s="4"/>
      <c r="F13" s="84" t="s">
        <v>211</v>
      </c>
      <c r="G13" s="84"/>
      <c r="H13" s="84"/>
      <c r="I13" s="60"/>
      <c r="J13" s="82"/>
      <c r="K13" s="82"/>
      <c r="L13" s="82"/>
      <c r="M13" s="82"/>
      <c r="N13" s="82"/>
    </row>
    <row r="14" spans="1:14" ht="14.25" customHeight="1" x14ac:dyDescent="0.3">
      <c r="A14" s="58" t="s">
        <v>108</v>
      </c>
      <c r="B14" s="2">
        <f>Synthèse!D14</f>
        <v>0</v>
      </c>
      <c r="C14" s="81">
        <f>Synthèse!G14</f>
        <v>0</v>
      </c>
      <c r="D14" s="81"/>
      <c r="E14" s="4"/>
      <c r="F14" s="84"/>
      <c r="G14" s="84"/>
      <c r="H14" s="84"/>
      <c r="I14" s="60"/>
      <c r="J14" s="82"/>
      <c r="K14" s="82"/>
      <c r="L14" s="82"/>
      <c r="M14" s="82"/>
      <c r="N14" s="82"/>
    </row>
    <row r="15" spans="1:14" ht="14.25" customHeight="1" x14ac:dyDescent="0.3">
      <c r="A15" s="59" t="s">
        <v>109</v>
      </c>
      <c r="B15" s="1">
        <f>Synthèse!D15</f>
        <v>0</v>
      </c>
      <c r="C15" s="83">
        <f>Synthèse!G15</f>
        <v>0</v>
      </c>
      <c r="D15" s="83"/>
      <c r="E15" s="4"/>
      <c r="F15" s="84"/>
      <c r="G15" s="84"/>
      <c r="H15" s="84"/>
      <c r="I15" s="61"/>
      <c r="J15" s="82"/>
      <c r="K15" s="82"/>
      <c r="L15" s="82"/>
      <c r="M15" s="82"/>
      <c r="N15" s="82"/>
    </row>
    <row r="16" spans="1:14" ht="14.25" customHeight="1" x14ac:dyDescent="0.3">
      <c r="A16" s="62" t="s">
        <v>111</v>
      </c>
      <c r="B16" s="1">
        <f>Synthèse!D17</f>
        <v>0</v>
      </c>
      <c r="C16" s="83">
        <f>Synthèse!G17</f>
        <v>0</v>
      </c>
      <c r="D16" s="83"/>
      <c r="E16" s="4"/>
      <c r="F16" s="84"/>
      <c r="G16" s="84"/>
      <c r="H16" s="84"/>
      <c r="I16" s="61"/>
      <c r="J16" s="82"/>
      <c r="K16" s="82"/>
      <c r="L16" s="82"/>
      <c r="M16" s="82"/>
      <c r="N16" s="82"/>
    </row>
    <row r="17" spans="1:14" x14ac:dyDescent="0.3">
      <c r="A17" s="4"/>
      <c r="B17" s="4"/>
      <c r="C17" s="4"/>
      <c r="D17" s="4"/>
      <c r="E17" s="4"/>
      <c r="F17" s="84"/>
      <c r="G17" s="84"/>
      <c r="H17" s="84"/>
      <c r="I17" s="4"/>
      <c r="J17" s="82"/>
      <c r="K17" s="82"/>
      <c r="L17" s="82"/>
      <c r="M17" s="82"/>
      <c r="N17" s="82"/>
    </row>
    <row r="18" spans="1:14" ht="14.25" customHeight="1" x14ac:dyDescent="0.3">
      <c r="A18" s="84" t="s">
        <v>212</v>
      </c>
      <c r="B18" s="84"/>
      <c r="C18" s="84"/>
      <c r="D18" s="84"/>
      <c r="E18" s="84"/>
      <c r="F18" s="84" t="s">
        <v>213</v>
      </c>
      <c r="G18" s="84"/>
      <c r="H18" s="84"/>
      <c r="I18" s="63"/>
      <c r="J18" s="82"/>
      <c r="K18" s="82"/>
      <c r="L18" s="82"/>
      <c r="M18" s="82"/>
      <c r="N18" s="82"/>
    </row>
    <row r="19" spans="1:14" x14ac:dyDescent="0.3">
      <c r="A19" s="84"/>
      <c r="B19" s="84"/>
      <c r="C19" s="84"/>
      <c r="D19" s="84"/>
      <c r="E19" s="84"/>
      <c r="F19" s="84"/>
      <c r="G19" s="84"/>
      <c r="H19" s="84"/>
      <c r="I19" s="64"/>
      <c r="J19" s="82"/>
      <c r="K19" s="82"/>
      <c r="L19" s="82"/>
      <c r="M19" s="82"/>
      <c r="N19" s="82"/>
    </row>
    <row r="20" spans="1:14" x14ac:dyDescent="0.3">
      <c r="A20" s="84"/>
      <c r="B20" s="84"/>
      <c r="C20" s="84"/>
      <c r="D20" s="84"/>
      <c r="E20" s="84"/>
      <c r="F20" s="84"/>
      <c r="G20" s="84"/>
      <c r="H20" s="84"/>
      <c r="I20" s="65"/>
      <c r="J20" s="82"/>
      <c r="K20" s="82"/>
      <c r="L20" s="82"/>
      <c r="M20" s="82"/>
      <c r="N20" s="82"/>
    </row>
    <row r="21" spans="1:14" x14ac:dyDescent="0.3">
      <c r="A21" s="84"/>
      <c r="B21" s="84"/>
      <c r="C21" s="84"/>
      <c r="D21" s="84"/>
      <c r="E21" s="84"/>
      <c r="F21" s="84"/>
      <c r="G21" s="84"/>
      <c r="H21" s="84"/>
      <c r="I21" s="63"/>
      <c r="J21" s="82"/>
      <c r="K21" s="82"/>
      <c r="L21" s="82"/>
      <c r="M21" s="82"/>
      <c r="N21" s="82"/>
    </row>
    <row r="22" spans="1:14" ht="14.25" customHeight="1" x14ac:dyDescent="0.3">
      <c r="A22" s="84" t="s">
        <v>214</v>
      </c>
      <c r="B22" s="84"/>
      <c r="C22" s="84"/>
      <c r="D22" s="84"/>
      <c r="E22" s="84"/>
      <c r="F22" s="84" t="s">
        <v>215</v>
      </c>
      <c r="G22" s="84"/>
      <c r="H22" s="84"/>
      <c r="I22" s="4"/>
      <c r="J22" s="82"/>
      <c r="K22" s="82"/>
      <c r="L22" s="82"/>
      <c r="M22" s="82"/>
      <c r="N22" s="82"/>
    </row>
    <row r="23" spans="1:14" x14ac:dyDescent="0.3">
      <c r="A23" s="84"/>
      <c r="B23" s="84"/>
      <c r="C23" s="84"/>
      <c r="D23" s="84"/>
      <c r="E23" s="84"/>
      <c r="F23" s="84"/>
      <c r="G23" s="84"/>
      <c r="H23" s="84"/>
      <c r="I23" s="64"/>
      <c r="J23" s="82"/>
      <c r="K23" s="82"/>
      <c r="L23" s="82"/>
      <c r="M23" s="82"/>
      <c r="N23" s="82"/>
    </row>
    <row r="24" spans="1:14" x14ac:dyDescent="0.3">
      <c r="A24" s="84"/>
      <c r="B24" s="84"/>
      <c r="C24" s="84"/>
      <c r="D24" s="84"/>
      <c r="E24" s="84"/>
      <c r="F24" s="84"/>
      <c r="G24" s="84"/>
      <c r="H24" s="84"/>
      <c r="I24" s="4"/>
      <c r="J24" s="82"/>
      <c r="K24" s="82"/>
      <c r="L24" s="82"/>
      <c r="M24" s="82"/>
      <c r="N24" s="82"/>
    </row>
    <row r="25" spans="1:14" x14ac:dyDescent="0.3">
      <c r="A25" s="84"/>
      <c r="B25" s="84"/>
      <c r="C25" s="84"/>
      <c r="D25" s="84"/>
      <c r="E25" s="84"/>
      <c r="F25" s="84"/>
      <c r="G25" s="84"/>
      <c r="H25" s="84"/>
      <c r="I25" s="4"/>
      <c r="J25" s="82"/>
      <c r="K25" s="82"/>
      <c r="L25" s="82"/>
      <c r="M25" s="82"/>
      <c r="N25" s="82"/>
    </row>
    <row r="26" spans="1:14" x14ac:dyDescent="0.3">
      <c r="A26" s="66"/>
      <c r="B26" s="66"/>
      <c r="C26" s="66"/>
      <c r="D26" s="66"/>
      <c r="E26" s="66"/>
      <c r="F26" s="4"/>
      <c r="G26" s="4"/>
      <c r="H26" s="4"/>
      <c r="I26" s="4"/>
      <c r="J26" s="82"/>
      <c r="K26" s="82"/>
      <c r="L26" s="82"/>
      <c r="M26" s="82"/>
      <c r="N26" s="82"/>
    </row>
    <row r="27" spans="1:14" x14ac:dyDescent="0.3">
      <c r="A27" s="66"/>
      <c r="B27" s="66"/>
      <c r="C27" s="66"/>
      <c r="D27" s="66"/>
      <c r="E27" s="66"/>
      <c r="F27" s="4"/>
      <c r="G27" s="4"/>
      <c r="H27" s="4"/>
      <c r="I27" s="4"/>
      <c r="J27" s="82"/>
      <c r="K27" s="82"/>
      <c r="L27" s="82"/>
      <c r="M27" s="82"/>
      <c r="N27" s="82"/>
    </row>
    <row r="28" spans="1:14" ht="15" customHeight="1" x14ac:dyDescent="0.3">
      <c r="A28" s="85" t="s">
        <v>216</v>
      </c>
      <c r="B28" s="85"/>
      <c r="C28" s="85"/>
      <c r="D28" s="85"/>
      <c r="E28" s="85"/>
      <c r="F28" s="85"/>
      <c r="G28" s="85"/>
      <c r="H28" s="85"/>
      <c r="I28" s="4"/>
      <c r="J28" s="82"/>
      <c r="K28" s="82"/>
      <c r="L28" s="82"/>
      <c r="M28" s="82"/>
      <c r="N28" s="82"/>
    </row>
    <row r="29" spans="1:14" x14ac:dyDescent="0.3">
      <c r="A29" s="4"/>
      <c r="B29" s="4"/>
      <c r="C29" s="4"/>
      <c r="D29" s="4"/>
      <c r="E29" s="4"/>
      <c r="F29" s="4"/>
      <c r="G29" s="4"/>
      <c r="H29" s="4"/>
      <c r="I29" s="4"/>
      <c r="J29" s="82"/>
      <c r="K29" s="82"/>
      <c r="L29" s="82"/>
      <c r="M29" s="82"/>
      <c r="N29" s="82"/>
    </row>
    <row r="30" spans="1:14" x14ac:dyDescent="0.3">
      <c r="A30" s="4"/>
      <c r="B30" s="4"/>
      <c r="C30" s="4"/>
      <c r="D30" s="4"/>
      <c r="E30" s="4"/>
      <c r="F30" s="4"/>
      <c r="G30" s="4"/>
      <c r="H30" s="4"/>
      <c r="I30" s="4"/>
      <c r="J30" s="82"/>
      <c r="K30" s="82"/>
      <c r="L30" s="82"/>
      <c r="M30" s="82"/>
      <c r="N30" s="82"/>
    </row>
    <row r="31" spans="1:14" x14ac:dyDescent="0.3">
      <c r="A31" s="4"/>
      <c r="B31" s="4"/>
      <c r="C31" s="4"/>
      <c r="D31" s="4"/>
      <c r="E31" s="4"/>
      <c r="F31" s="4"/>
      <c r="G31" s="4"/>
      <c r="H31" s="4"/>
      <c r="I31" s="4"/>
      <c r="J31" s="82"/>
      <c r="K31" s="82"/>
      <c r="L31" s="82"/>
      <c r="M31" s="82"/>
      <c r="N31" s="82"/>
    </row>
    <row r="32" spans="1:14" x14ac:dyDescent="0.3">
      <c r="A32" s="4"/>
      <c r="B32" s="4"/>
      <c r="C32" s="4"/>
      <c r="D32" s="4"/>
      <c r="E32" s="4"/>
      <c r="F32" s="4"/>
      <c r="G32" s="4"/>
      <c r="H32" s="4"/>
      <c r="I32" s="4"/>
      <c r="J32" s="82"/>
      <c r="K32" s="82"/>
      <c r="L32" s="82"/>
      <c r="M32" s="82"/>
      <c r="N32" s="82"/>
    </row>
    <row r="33" spans="1:14" x14ac:dyDescent="0.3">
      <c r="A33" s="4"/>
      <c r="B33" s="4"/>
      <c r="C33" s="4"/>
      <c r="D33" s="4"/>
      <c r="E33" s="4"/>
      <c r="F33" s="4"/>
      <c r="G33" s="4"/>
      <c r="H33" s="4"/>
      <c r="I33" s="4"/>
      <c r="J33" s="82"/>
      <c r="K33" s="82"/>
      <c r="L33" s="82"/>
      <c r="M33" s="82"/>
      <c r="N33" s="82"/>
    </row>
    <row r="34" spans="1:14" x14ac:dyDescent="0.3">
      <c r="A34" s="4"/>
      <c r="B34" s="4"/>
      <c r="C34" s="4"/>
      <c r="D34" s="4"/>
      <c r="E34" s="4"/>
      <c r="F34" s="4"/>
      <c r="G34" s="4"/>
      <c r="H34" s="4"/>
      <c r="I34" s="4"/>
      <c r="J34" s="82"/>
      <c r="K34" s="82"/>
      <c r="L34" s="82"/>
      <c r="M34" s="82"/>
      <c r="N34" s="82"/>
    </row>
    <row r="35" spans="1:14" x14ac:dyDescent="0.3">
      <c r="A35" s="4"/>
      <c r="B35" s="4"/>
      <c r="C35" s="4"/>
      <c r="D35" s="4"/>
      <c r="E35" s="4"/>
      <c r="F35" s="4"/>
      <c r="G35" s="4"/>
      <c r="H35" s="4"/>
      <c r="I35" s="4"/>
      <c r="J35" s="82"/>
      <c r="K35" s="82"/>
      <c r="L35" s="82"/>
      <c r="M35" s="82"/>
      <c r="N35" s="82"/>
    </row>
    <row r="36" spans="1:14" x14ac:dyDescent="0.3">
      <c r="A36" s="4"/>
      <c r="B36" s="4"/>
      <c r="C36" s="4"/>
      <c r="D36" s="4"/>
      <c r="E36" s="4"/>
      <c r="F36" s="4"/>
      <c r="G36" s="4"/>
      <c r="H36" s="4"/>
      <c r="I36" s="4"/>
      <c r="J36" s="82"/>
      <c r="K36" s="82"/>
      <c r="L36" s="82"/>
      <c r="M36" s="82"/>
      <c r="N36" s="82"/>
    </row>
    <row r="37" spans="1:14" x14ac:dyDescent="0.3">
      <c r="A37" s="4"/>
      <c r="B37" s="4"/>
      <c r="C37" s="4"/>
      <c r="D37" s="4"/>
      <c r="E37" s="4"/>
      <c r="F37" s="4"/>
      <c r="G37" s="4"/>
      <c r="H37" s="4"/>
      <c r="I37" s="4"/>
      <c r="J37" s="82"/>
      <c r="K37" s="82"/>
      <c r="L37" s="82"/>
      <c r="M37" s="82"/>
      <c r="N37" s="82"/>
    </row>
    <row r="38" spans="1:14" x14ac:dyDescent="0.3">
      <c r="A38" s="4"/>
      <c r="B38" s="4"/>
      <c r="C38" s="4"/>
      <c r="D38" s="4"/>
      <c r="E38" s="4"/>
      <c r="F38" s="4"/>
      <c r="G38" s="4"/>
      <c r="H38" s="4"/>
      <c r="I38" s="4"/>
      <c r="J38" s="82"/>
      <c r="K38" s="82"/>
      <c r="L38" s="82"/>
      <c r="M38" s="82"/>
      <c r="N38" s="82"/>
    </row>
    <row r="39" spans="1:14" x14ac:dyDescent="0.3">
      <c r="A39" s="4"/>
      <c r="B39" s="4"/>
      <c r="C39" s="4"/>
      <c r="D39" s="4"/>
      <c r="E39" s="4"/>
      <c r="F39" s="4"/>
      <c r="G39" s="4"/>
      <c r="H39" s="4"/>
      <c r="I39" s="4"/>
      <c r="J39" s="82"/>
      <c r="K39" s="82"/>
      <c r="L39" s="82"/>
      <c r="M39" s="82"/>
      <c r="N39" s="82"/>
    </row>
    <row r="40" spans="1:14" x14ac:dyDescent="0.3">
      <c r="A40" s="4"/>
      <c r="B40" s="4"/>
      <c r="C40" s="4"/>
      <c r="D40" s="4"/>
      <c r="E40" s="4"/>
      <c r="F40" s="4"/>
      <c r="G40" s="4"/>
      <c r="H40" s="4"/>
      <c r="I40" s="4"/>
      <c r="J40" s="82"/>
      <c r="K40" s="82"/>
      <c r="L40" s="82"/>
      <c r="M40" s="82"/>
      <c r="N40" s="82"/>
    </row>
    <row r="41" spans="1:14" x14ac:dyDescent="0.3">
      <c r="A41" s="4"/>
      <c r="B41" s="4"/>
      <c r="C41" s="4"/>
      <c r="D41" s="4"/>
      <c r="E41" s="4"/>
      <c r="F41" s="4"/>
      <c r="G41" s="4"/>
      <c r="H41" s="4"/>
      <c r="I41" s="4"/>
      <c r="J41" s="82"/>
      <c r="K41" s="82"/>
      <c r="L41" s="82"/>
      <c r="M41" s="82"/>
      <c r="N41" s="82"/>
    </row>
    <row r="42" spans="1:14" x14ac:dyDescent="0.3">
      <c r="A42" s="4"/>
      <c r="B42" s="4"/>
      <c r="C42" s="4"/>
      <c r="D42" s="4"/>
      <c r="E42" s="4"/>
      <c r="F42" s="4"/>
      <c r="G42" s="4"/>
      <c r="H42" s="4"/>
      <c r="I42" s="4"/>
      <c r="J42" s="82"/>
      <c r="K42" s="82"/>
      <c r="L42" s="82"/>
      <c r="M42" s="82"/>
      <c r="N42" s="82"/>
    </row>
    <row r="43" spans="1:14" x14ac:dyDescent="0.3">
      <c r="A43" s="4"/>
      <c r="B43" s="4"/>
      <c r="C43" s="4"/>
      <c r="D43" s="4"/>
      <c r="E43" s="4"/>
      <c r="F43" s="4"/>
      <c r="G43" s="4"/>
      <c r="H43" s="4"/>
      <c r="I43" s="4"/>
      <c r="J43" s="82"/>
      <c r="K43" s="82"/>
      <c r="L43" s="82"/>
      <c r="M43" s="82"/>
      <c r="N43" s="82"/>
    </row>
    <row r="44" spans="1:14" x14ac:dyDescent="0.3">
      <c r="A44" s="4"/>
      <c r="B44" s="4"/>
      <c r="C44" s="4"/>
      <c r="D44" s="4"/>
      <c r="E44" s="4"/>
      <c r="F44" s="4"/>
      <c r="G44" s="4"/>
      <c r="H44" s="4"/>
      <c r="I44" s="4"/>
      <c r="J44" s="82"/>
      <c r="K44" s="82"/>
      <c r="L44" s="82"/>
      <c r="M44" s="82"/>
      <c r="N44" s="82"/>
    </row>
    <row r="45" spans="1:14" x14ac:dyDescent="0.3">
      <c r="A45" s="4"/>
      <c r="B45" s="4"/>
      <c r="C45" s="4"/>
      <c r="D45" s="4"/>
      <c r="E45" s="4"/>
      <c r="F45" s="4"/>
      <c r="G45" s="4"/>
      <c r="H45" s="4"/>
      <c r="I45" s="4"/>
      <c r="J45" s="82"/>
      <c r="K45" s="82"/>
      <c r="L45" s="82"/>
      <c r="M45" s="82"/>
      <c r="N45" s="82"/>
    </row>
    <row r="46" spans="1:14" x14ac:dyDescent="0.3">
      <c r="A46" s="4"/>
      <c r="B46" s="4"/>
      <c r="C46" s="4"/>
      <c r="D46" s="4"/>
      <c r="E46" s="4"/>
      <c r="F46" s="4"/>
      <c r="G46" s="4"/>
      <c r="H46" s="4"/>
      <c r="I46" s="4"/>
      <c r="J46" s="82"/>
      <c r="K46" s="82"/>
      <c r="L46" s="82"/>
      <c r="M46" s="82"/>
      <c r="N46" s="82"/>
    </row>
    <row r="47" spans="1:14" x14ac:dyDescent="0.3">
      <c r="A47" s="4"/>
      <c r="B47" s="4"/>
      <c r="C47" s="4"/>
      <c r="D47" s="4"/>
      <c r="E47" s="4"/>
      <c r="F47" s="4"/>
      <c r="G47" s="4"/>
      <c r="H47" s="4"/>
      <c r="I47" s="4"/>
      <c r="J47" s="82"/>
      <c r="K47" s="82"/>
      <c r="L47" s="82"/>
      <c r="M47" s="82"/>
      <c r="N47" s="82"/>
    </row>
    <row r="48" spans="1:14" x14ac:dyDescent="0.3">
      <c r="A48" s="4"/>
      <c r="B48" s="4"/>
      <c r="C48" s="4"/>
      <c r="D48" s="4"/>
      <c r="E48" s="4"/>
      <c r="F48" s="4"/>
      <c r="G48" s="4"/>
      <c r="H48" s="4"/>
      <c r="I48" s="4"/>
      <c r="J48" s="82"/>
      <c r="K48" s="82"/>
      <c r="L48" s="82"/>
      <c r="M48" s="82"/>
      <c r="N48" s="82"/>
    </row>
    <row r="49" spans="1:14" x14ac:dyDescent="0.3">
      <c r="A49" s="4"/>
      <c r="B49" s="4"/>
      <c r="C49" s="4"/>
      <c r="D49" s="4"/>
      <c r="E49" s="4"/>
      <c r="F49" s="4"/>
      <c r="G49" s="4"/>
      <c r="H49" s="4"/>
      <c r="I49" s="4"/>
      <c r="J49" s="82"/>
      <c r="K49" s="82"/>
      <c r="L49" s="82"/>
      <c r="M49" s="82"/>
      <c r="N49" s="82"/>
    </row>
    <row r="50" spans="1:14" x14ac:dyDescent="0.3">
      <c r="A50" s="4"/>
      <c r="B50" s="4"/>
      <c r="C50" s="4"/>
      <c r="D50" s="4"/>
      <c r="E50" s="4"/>
      <c r="F50" s="4"/>
      <c r="G50" s="4"/>
      <c r="H50" s="4"/>
      <c r="I50" s="4"/>
      <c r="J50" s="82"/>
      <c r="K50" s="82"/>
      <c r="L50" s="82"/>
      <c r="M50" s="82"/>
      <c r="N50" s="82"/>
    </row>
    <row r="51" spans="1:14" x14ac:dyDescent="0.3">
      <c r="A51" s="4"/>
      <c r="B51" s="4"/>
      <c r="C51" s="4"/>
      <c r="D51" s="4"/>
      <c r="E51" s="4"/>
      <c r="F51" s="4"/>
      <c r="G51" s="4"/>
      <c r="H51" s="4"/>
      <c r="I51" s="4"/>
      <c r="J51" s="82"/>
      <c r="K51" s="82"/>
      <c r="L51" s="82"/>
      <c r="M51" s="82"/>
      <c r="N51" s="82"/>
    </row>
    <row r="52" spans="1:14" x14ac:dyDescent="0.3">
      <c r="A52" s="4"/>
      <c r="B52" s="4"/>
      <c r="C52" s="4"/>
      <c r="D52" s="4"/>
      <c r="E52" s="4"/>
      <c r="F52" s="4"/>
      <c r="G52" s="4"/>
      <c r="H52" s="4"/>
      <c r="I52" s="4"/>
      <c r="J52" s="82"/>
      <c r="K52" s="82"/>
      <c r="L52" s="82"/>
      <c r="M52" s="82"/>
      <c r="N52" s="82"/>
    </row>
    <row r="53" spans="1:14" x14ac:dyDescent="0.3">
      <c r="A53" s="4"/>
      <c r="B53" s="4"/>
      <c r="C53" s="4"/>
      <c r="D53" s="4"/>
      <c r="E53" s="4"/>
      <c r="F53" s="4"/>
      <c r="G53" s="4"/>
      <c r="H53" s="4"/>
      <c r="I53" s="4"/>
      <c r="J53" s="82"/>
      <c r="K53" s="82"/>
      <c r="L53" s="82"/>
      <c r="M53" s="82"/>
      <c r="N53" s="82"/>
    </row>
    <row r="54" spans="1:14" x14ac:dyDescent="0.3">
      <c r="A54" s="4"/>
      <c r="B54" s="4"/>
      <c r="C54" s="4"/>
      <c r="D54" s="4"/>
      <c r="E54" s="4"/>
      <c r="F54" s="4"/>
      <c r="G54" s="4"/>
      <c r="H54" s="4"/>
      <c r="I54" s="4"/>
      <c r="J54" s="82"/>
      <c r="K54" s="82"/>
      <c r="L54" s="82"/>
      <c r="M54" s="82"/>
      <c r="N54" s="82"/>
    </row>
    <row r="55" spans="1:14" x14ac:dyDescent="0.3">
      <c r="A55" s="4"/>
      <c r="B55" s="4"/>
      <c r="C55" s="4"/>
      <c r="D55" s="4"/>
      <c r="E55" s="4"/>
      <c r="F55" s="4"/>
      <c r="G55" s="4"/>
      <c r="H55" s="4"/>
      <c r="I55" s="4"/>
      <c r="J55" s="82"/>
      <c r="K55" s="82"/>
      <c r="L55" s="82"/>
      <c r="M55" s="82"/>
      <c r="N55" s="82"/>
    </row>
    <row r="56" spans="1:14" x14ac:dyDescent="0.3">
      <c r="A56" s="4"/>
      <c r="B56" s="4"/>
      <c r="C56" s="4"/>
      <c r="D56" s="4"/>
      <c r="E56" s="4"/>
      <c r="F56" s="4"/>
      <c r="G56" s="4"/>
      <c r="H56" s="4"/>
      <c r="I56" s="4"/>
      <c r="J56" s="82"/>
      <c r="K56" s="82"/>
      <c r="L56" s="82"/>
      <c r="M56" s="82"/>
      <c r="N56" s="82"/>
    </row>
    <row r="57" spans="1:14" x14ac:dyDescent="0.3">
      <c r="A57" s="4"/>
      <c r="B57" s="4"/>
      <c r="C57" s="4"/>
      <c r="D57" s="4"/>
      <c r="E57" s="4"/>
      <c r="F57" s="4"/>
      <c r="G57" s="4"/>
      <c r="H57" s="4"/>
      <c r="I57" s="4"/>
      <c r="J57" s="82"/>
      <c r="K57" s="82"/>
      <c r="L57" s="82"/>
      <c r="M57" s="82"/>
      <c r="N57" s="82"/>
    </row>
    <row r="58" spans="1:14" x14ac:dyDescent="0.3">
      <c r="A58" s="4"/>
      <c r="B58" s="4"/>
      <c r="C58" s="4"/>
      <c r="D58" s="4"/>
      <c r="E58" s="4"/>
      <c r="F58" s="4"/>
      <c r="G58" s="4"/>
      <c r="H58" s="4"/>
      <c r="I58" s="4"/>
      <c r="J58" s="82"/>
      <c r="K58" s="82"/>
      <c r="L58" s="82"/>
      <c r="M58" s="82"/>
      <c r="N58" s="82"/>
    </row>
    <row r="59" spans="1:14" x14ac:dyDescent="0.3">
      <c r="A59" s="4"/>
      <c r="B59" s="4"/>
      <c r="C59" s="4"/>
      <c r="D59" s="4"/>
      <c r="E59" s="4"/>
      <c r="F59" s="4"/>
      <c r="G59" s="4"/>
      <c r="H59" s="4"/>
      <c r="I59" s="4"/>
      <c r="J59" s="82"/>
      <c r="K59" s="82"/>
      <c r="L59" s="82"/>
      <c r="M59" s="82"/>
      <c r="N59" s="82"/>
    </row>
    <row r="60" spans="1:14" x14ac:dyDescent="0.3">
      <c r="A60" s="4"/>
      <c r="B60" s="4"/>
      <c r="C60" s="4"/>
      <c r="D60" s="4"/>
      <c r="E60" s="4"/>
      <c r="F60" s="4"/>
      <c r="G60" s="4"/>
      <c r="H60" s="4"/>
      <c r="I60" s="4"/>
      <c r="J60" s="82"/>
      <c r="K60" s="82"/>
      <c r="L60" s="82"/>
      <c r="M60" s="82"/>
      <c r="N60" s="82"/>
    </row>
    <row r="61" spans="1:14" x14ac:dyDescent="0.3">
      <c r="A61" s="4"/>
      <c r="B61" s="4"/>
      <c r="C61" s="4"/>
      <c r="D61" s="4"/>
      <c r="E61" s="4"/>
      <c r="F61" s="4"/>
      <c r="G61" s="4"/>
      <c r="H61" s="4"/>
      <c r="I61" s="4"/>
      <c r="J61" s="82"/>
      <c r="K61" s="82"/>
      <c r="L61" s="82"/>
      <c r="M61" s="82"/>
      <c r="N61" s="82"/>
    </row>
    <row r="62" spans="1:14" x14ac:dyDescent="0.3">
      <c r="A62" s="4"/>
      <c r="B62" s="4"/>
      <c r="C62" s="4"/>
      <c r="D62" s="4"/>
      <c r="E62" s="4"/>
      <c r="F62" s="4"/>
      <c r="G62" s="4"/>
      <c r="H62" s="4"/>
      <c r="I62" s="4"/>
      <c r="J62" s="82"/>
      <c r="K62" s="82"/>
      <c r="L62" s="82"/>
      <c r="M62" s="82"/>
      <c r="N62" s="82"/>
    </row>
    <row r="63" spans="1:14" x14ac:dyDescent="0.3">
      <c r="A63" s="4"/>
      <c r="B63" s="4"/>
      <c r="C63" s="4"/>
      <c r="D63" s="4"/>
      <c r="E63" s="4"/>
      <c r="F63" s="4"/>
      <c r="G63" s="4"/>
      <c r="H63" s="4"/>
      <c r="I63" s="4"/>
      <c r="J63" s="82"/>
      <c r="K63" s="82"/>
      <c r="L63" s="82"/>
      <c r="M63" s="82"/>
      <c r="N63" s="82"/>
    </row>
    <row r="64" spans="1:14" x14ac:dyDescent="0.3">
      <c r="A64" s="4"/>
      <c r="B64" s="4"/>
      <c r="C64" s="4"/>
      <c r="D64" s="4"/>
      <c r="E64" s="4"/>
      <c r="F64" s="4"/>
      <c r="G64" s="4"/>
      <c r="H64" s="4"/>
      <c r="I64" s="4"/>
      <c r="J64" s="82"/>
      <c r="K64" s="82"/>
      <c r="L64" s="82"/>
      <c r="M64" s="82"/>
      <c r="N64" s="82"/>
    </row>
    <row r="65" spans="1:14" x14ac:dyDescent="0.3">
      <c r="A65" s="4"/>
      <c r="B65" s="4"/>
      <c r="C65" s="4"/>
      <c r="D65" s="4"/>
      <c r="E65" s="4"/>
      <c r="F65" s="4"/>
      <c r="G65" s="4"/>
      <c r="H65" s="4"/>
      <c r="I65" s="4"/>
      <c r="J65" s="82"/>
      <c r="K65" s="82"/>
      <c r="L65" s="82"/>
      <c r="M65" s="82"/>
      <c r="N65" s="82"/>
    </row>
    <row r="66" spans="1:14" x14ac:dyDescent="0.3">
      <c r="A66" s="4"/>
      <c r="B66" s="4"/>
      <c r="C66" s="4"/>
      <c r="D66" s="4"/>
      <c r="E66" s="4"/>
      <c r="F66" s="4"/>
      <c r="G66" s="4"/>
      <c r="H66" s="4"/>
      <c r="I66" s="4"/>
      <c r="J66" s="82"/>
      <c r="K66" s="82"/>
      <c r="L66" s="82"/>
      <c r="M66" s="82"/>
      <c r="N66" s="82"/>
    </row>
    <row r="67" spans="1:14" x14ac:dyDescent="0.3">
      <c r="A67" s="4"/>
      <c r="B67" s="4"/>
      <c r="C67" s="4"/>
      <c r="D67" s="4"/>
      <c r="E67" s="4"/>
      <c r="F67" s="4"/>
      <c r="G67" s="4"/>
      <c r="H67" s="4"/>
      <c r="I67" s="4"/>
      <c r="J67" s="82"/>
      <c r="K67" s="82"/>
      <c r="L67" s="82"/>
      <c r="M67" s="82"/>
      <c r="N67" s="82"/>
    </row>
    <row r="68" spans="1:14" x14ac:dyDescent="0.3">
      <c r="A68" s="4"/>
      <c r="B68" s="4"/>
      <c r="C68" s="4"/>
      <c r="D68" s="4"/>
      <c r="E68" s="4"/>
      <c r="F68" s="4"/>
      <c r="G68" s="4"/>
      <c r="H68" s="4"/>
      <c r="I68" s="4"/>
      <c r="J68" s="82"/>
      <c r="K68" s="82"/>
      <c r="L68" s="82"/>
      <c r="M68" s="82"/>
      <c r="N68" s="82"/>
    </row>
    <row r="69" spans="1:14" x14ac:dyDescent="0.3">
      <c r="A69" s="4"/>
      <c r="B69" s="4"/>
      <c r="C69" s="4"/>
      <c r="D69" s="4"/>
      <c r="E69" s="4"/>
      <c r="F69" s="4"/>
      <c r="G69" s="4"/>
      <c r="H69" s="4"/>
      <c r="I69" s="4"/>
      <c r="J69" s="82"/>
      <c r="K69" s="82"/>
      <c r="L69" s="82"/>
      <c r="M69" s="82"/>
      <c r="N69" s="82"/>
    </row>
    <row r="70" spans="1:14" x14ac:dyDescent="0.3">
      <c r="A70" s="4"/>
      <c r="B70" s="4"/>
      <c r="C70" s="4"/>
      <c r="D70" s="4"/>
      <c r="E70" s="4"/>
      <c r="F70" s="4"/>
      <c r="G70" s="4"/>
      <c r="H70" s="4"/>
      <c r="I70" s="4"/>
      <c r="J70" s="82"/>
      <c r="K70" s="82"/>
      <c r="L70" s="82"/>
      <c r="M70" s="82"/>
      <c r="N70" s="82"/>
    </row>
    <row r="71" spans="1:14" x14ac:dyDescent="0.3">
      <c r="A71" s="4"/>
      <c r="B71" s="4"/>
      <c r="C71" s="4"/>
      <c r="D71" s="4"/>
      <c r="E71" s="4"/>
      <c r="F71" s="4"/>
      <c r="G71" s="4"/>
      <c r="H71" s="4"/>
      <c r="I71" s="4"/>
      <c r="J71" s="82"/>
      <c r="K71" s="82"/>
      <c r="L71" s="82"/>
      <c r="M71" s="82"/>
      <c r="N71" s="82"/>
    </row>
    <row r="72" spans="1:14" x14ac:dyDescent="0.3">
      <c r="A72" s="4"/>
      <c r="B72" s="4"/>
      <c r="C72" s="4"/>
      <c r="D72" s="4"/>
      <c r="E72" s="4"/>
      <c r="F72" s="4"/>
      <c r="G72" s="4"/>
      <c r="H72" s="4"/>
      <c r="I72" s="4"/>
      <c r="J72" s="82"/>
      <c r="K72" s="82"/>
      <c r="L72" s="82"/>
      <c r="M72" s="82"/>
      <c r="N72" s="82"/>
    </row>
    <row r="73" spans="1:14" x14ac:dyDescent="0.3">
      <c r="A73" s="4"/>
      <c r="B73" s="4"/>
      <c r="C73" s="4"/>
      <c r="D73" s="4"/>
      <c r="E73" s="4"/>
      <c r="F73" s="4"/>
      <c r="G73" s="4"/>
      <c r="H73" s="4"/>
      <c r="I73" s="4"/>
      <c r="J73" s="82"/>
      <c r="K73" s="82"/>
      <c r="L73" s="82"/>
      <c r="M73" s="82"/>
      <c r="N73" s="82"/>
    </row>
    <row r="74" spans="1:14" x14ac:dyDescent="0.3">
      <c r="A74" s="4"/>
      <c r="B74" s="4"/>
      <c r="C74" s="4"/>
      <c r="D74" s="4"/>
      <c r="E74" s="4"/>
      <c r="F74" s="4"/>
      <c r="G74" s="4"/>
      <c r="H74" s="4"/>
      <c r="I74" s="4"/>
      <c r="J74" s="82"/>
      <c r="K74" s="82"/>
      <c r="L74" s="82"/>
      <c r="M74" s="82"/>
      <c r="N74" s="82"/>
    </row>
  </sheetData>
  <mergeCells count="21">
    <mergeCell ref="A1:E1"/>
    <mergeCell ref="B3:E3"/>
    <mergeCell ref="B4:E4"/>
    <mergeCell ref="B5:E5"/>
    <mergeCell ref="B6:E6"/>
    <mergeCell ref="B7:E7"/>
    <mergeCell ref="C9:D9"/>
    <mergeCell ref="C10:D10"/>
    <mergeCell ref="J10:N74"/>
    <mergeCell ref="C11:D11"/>
    <mergeCell ref="C12:D12"/>
    <mergeCell ref="C13:D13"/>
    <mergeCell ref="F13:H17"/>
    <mergeCell ref="C14:D14"/>
    <mergeCell ref="C15:D15"/>
    <mergeCell ref="C16:D16"/>
    <mergeCell ref="A18:E21"/>
    <mergeCell ref="F18:H21"/>
    <mergeCell ref="A22:E25"/>
    <mergeCell ref="F22:H25"/>
    <mergeCell ref="A28:H28"/>
  </mergeCells>
  <pageMargins left="0.75" right="0.75" top="1" bottom="1" header="0.511811023622047" footer="0.511811023622047"/>
  <pageSetup paperSize="9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29123C7CEF61479C4805B57D1A0432" ma:contentTypeVersion="17" ma:contentTypeDescription="Crée un document." ma:contentTypeScope="" ma:versionID="61fafe6ba55150c33ce4ec1518bbf5ef">
  <xsd:schema xmlns:xsd="http://www.w3.org/2001/XMLSchema" xmlns:xs="http://www.w3.org/2001/XMLSchema" xmlns:p="http://schemas.microsoft.com/office/2006/metadata/properties" xmlns:ns2="138d8470-54db-4ad8-a536-0741eabc782f" xmlns:ns3="718a807d-b12a-46d6-bcbb-2ef054e2c012" targetNamespace="http://schemas.microsoft.com/office/2006/metadata/properties" ma:root="true" ma:fieldsID="848945633eebfcbe7ceb42b5878759c8" ns2:_="" ns3:_="">
    <xsd:import namespace="138d8470-54db-4ad8-a536-0741eabc782f"/>
    <xsd:import namespace="718a807d-b12a-46d6-bcbb-2ef054e2c0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d8470-54db-4ad8-a536-0741eabc78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2d6bbf82-059b-4f28-9a20-fb972382e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a807d-b12a-46d6-bcbb-2ef054e2c012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8d8470-54db-4ad8-a536-0741eabc782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1BB6F6-4A04-4A51-AC93-2533748BE6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8d8470-54db-4ad8-a536-0741eabc782f"/>
    <ds:schemaRef ds:uri="718a807d-b12a-46d6-bcbb-2ef054e2c0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F79237-8FD0-4C12-9491-E90EB08D47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331423-F613-4466-B4EA-CBD0EC121188}">
  <ds:schemaRefs>
    <ds:schemaRef ds:uri="http://schemas.microsoft.com/office/2006/metadata/properties"/>
    <ds:schemaRef ds:uri="http://schemas.microsoft.com/office/infopath/2007/PartnerControls"/>
    <ds:schemaRef ds:uri="138d8470-54db-4ad8-a536-0741eabc78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A_Inattention</vt:lpstr>
      <vt:lpstr>B_HyperImpuls</vt:lpstr>
      <vt:lpstr>C_Devoirs</vt:lpstr>
      <vt:lpstr>D_Réactions_confrontation</vt:lpstr>
      <vt:lpstr>E_Impact</vt:lpstr>
      <vt:lpstr>Synthèse</vt:lpstr>
      <vt:lpstr>Interprétation</vt:lpstr>
      <vt:lpstr>Ressources de l'élève</vt:lpstr>
      <vt:lpstr>Intervention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RODUIT Guillaume</cp:lastModifiedBy>
  <cp:revision>1</cp:revision>
  <dcterms:created xsi:type="dcterms:W3CDTF">2026-01-26T07:30:38Z</dcterms:created>
  <dcterms:modified xsi:type="dcterms:W3CDTF">2026-08-11T11:36:01Z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0x0101008429123C7CEF61479C4805B57D1A0432</vt:lpwstr>
  </property>
  <property fmtid="{D5CDD505-2E9C-101B-9397-08002B2CF9AE}" pid="3" name="MediaServiceImageTags">
    <vt:lpwstr/>
  </property>
</Properties>
</file>