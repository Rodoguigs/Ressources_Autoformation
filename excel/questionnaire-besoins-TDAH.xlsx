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drawings/drawing2.xml" ContentType="application/vnd.openxmlformats-officedocument.drawing+xml"/>
  <Override PartName="/xl/charts/chart1.xml" ContentType="application/vnd.openxmlformats-officedocument.drawingml.chart+xml"/>
  <Override PartName="/xl/tables/table6.xml" ContentType="application/vnd.openxmlformats-officedocument.spreadsheetml.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5"/>
  <workbookPr/>
  <mc:AlternateContent xmlns:mc="http://schemas.openxmlformats.org/markup-compatibility/2006">
    <mc:Choice Requires="x15">
      <x15ac:absPath xmlns:x15ac="http://schemas.microsoft.com/office/spreadsheetml/2010/11/ac" url="https://myeduvs.sharepoint.com/sites/CO-Bagnes_TeamEnseignant-Enseignementspcialis/Documents partages/Enseignement spécialisé/Classeur/1. Les troubles des apprentissages/1. LES TROUBLES DES APPRENTISSAGES/TDAH/Evaluation diagnostique CO VDB/"/>
    </mc:Choice>
  </mc:AlternateContent>
  <xr:revisionPtr revIDLastSave="1142" documentId="8_{271A6E62-3D4A-4BA8-9BDB-534FE23F9705}" xr6:coauthVersionLast="47" xr6:coauthVersionMax="47" xr10:uidLastSave="{BE549CE0-525B-45AA-AC8B-BB614B64C494}"/>
  <bookViews>
    <workbookView xWindow="-108" yWindow="-108" windowWidth="23256" windowHeight="12456" tabRatio="811" firstSheet="8" activeTab="8" xr2:uid="{00000000-000D-0000-FFFF-FFFF00000000}"/>
  </bookViews>
  <sheets>
    <sheet name="A_Inattention" sheetId="2" r:id="rId1"/>
    <sheet name="B_HyperImpuls" sheetId="3" r:id="rId2"/>
    <sheet name="C_Devoirs" sheetId="4" r:id="rId3"/>
    <sheet name="D_Réactions_confrontation" sheetId="8" r:id="rId4"/>
    <sheet name="E_Impact" sheetId="5" r:id="rId5"/>
    <sheet name="Synthèse" sheetId="1" r:id="rId6"/>
    <sheet name="Interprétation" sheetId="6" r:id="rId7"/>
    <sheet name="Ressources de l'élève" sheetId="9" r:id="rId8"/>
    <sheet name="Intervention" sheetId="7" r:id="rId9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16" i="7" l="1"/>
  <c r="B16" i="7"/>
  <c r="B17" i="1"/>
  <c r="D17" i="1" s="1"/>
  <c r="B26" i="1" s="1"/>
  <c r="D15" i="8"/>
  <c r="E17" i="1" s="1"/>
  <c r="G17" i="1" s="1"/>
  <c r="C26" i="1" s="1"/>
  <c r="C15" i="8"/>
  <c r="B5" i="7"/>
  <c r="B4" i="7"/>
  <c r="E15" i="1"/>
  <c r="G15" i="1" s="1"/>
  <c r="C25" i="1" s="1"/>
  <c r="E14" i="1"/>
  <c r="G14" i="1" s="1"/>
  <c r="C24" i="1" s="1"/>
  <c r="B14" i="1"/>
  <c r="D14" i="1" s="1"/>
  <c r="B15" i="1"/>
  <c r="D15" i="1" s="1"/>
  <c r="B25" i="1" s="1"/>
  <c r="D8" i="5"/>
  <c r="E10" i="1" s="1"/>
  <c r="G10" i="1" s="1"/>
  <c r="C23" i="1" s="1"/>
  <c r="D14" i="4"/>
  <c r="E16" i="1" s="1"/>
  <c r="G16" i="1" s="1"/>
  <c r="C22" i="1" s="1"/>
  <c r="D13" i="3"/>
  <c r="E9" i="1" s="1"/>
  <c r="G9" i="1" s="1"/>
  <c r="D16" i="2"/>
  <c r="E8" i="1" s="1"/>
  <c r="G8" i="1" s="1"/>
  <c r="C20" i="1" s="1"/>
  <c r="B3" i="7"/>
  <c r="C8" i="5"/>
  <c r="B10" i="1" s="1"/>
  <c r="D10" i="1" s="1"/>
  <c r="C14" i="4"/>
  <c r="B16" i="1" s="1"/>
  <c r="D16" i="1" s="1"/>
  <c r="C13" i="3"/>
  <c r="B9" i="1" s="1"/>
  <c r="D9" i="1" s="1"/>
  <c r="B11" i="7" s="1"/>
  <c r="C16" i="2"/>
  <c r="B8" i="1" s="1"/>
  <c r="D8" i="1" s="1"/>
  <c r="B10" i="7" s="1"/>
  <c r="C13" i="7" l="1"/>
  <c r="C21" i="1"/>
  <c r="C11" i="7"/>
  <c r="B22" i="1"/>
  <c r="B12" i="7"/>
  <c r="C12" i="7"/>
  <c r="C14" i="7"/>
  <c r="C15" i="7"/>
  <c r="C10" i="7"/>
  <c r="B15" i="7"/>
  <c r="B20" i="1"/>
  <c r="B14" i="7"/>
  <c r="B24" i="1"/>
  <c r="B21" i="1"/>
  <c r="B23" i="1"/>
  <c r="B13" i="7"/>
</calcChain>
</file>

<file path=xl/sharedStrings.xml><?xml version="1.0" encoding="utf-8"?>
<sst xmlns="http://schemas.openxmlformats.org/spreadsheetml/2006/main" count="304" uniqueCount="217">
  <si>
    <t>INATTENTION</t>
  </si>
  <si>
    <t>0 = Jamais | 1 = Parfois | 2 = Souvent | 3 = Très souvent</t>
  </si>
  <si>
    <t>Evaluation 1</t>
  </si>
  <si>
    <t>Evaluation 2</t>
  </si>
  <si>
    <t>Item</t>
  </si>
  <si>
    <t>Énoncé</t>
  </si>
  <si>
    <t>Valeur (0–3)</t>
  </si>
  <si>
    <t>Valeur (0-3)</t>
  </si>
  <si>
    <t>A1</t>
  </si>
  <si>
    <t>Fait des erreurs d’inattention dans les travaux longs ou complexes (contrôles, devoirs, projets).</t>
  </si>
  <si>
    <t>A2</t>
  </si>
  <si>
    <t>A de la difficulté à maintenir son attention sur une tâche scolaire.</t>
  </si>
  <si>
    <t>A3</t>
  </si>
  <si>
    <t>Semble ne pas écouter quand on lui parle directement.</t>
  </si>
  <si>
    <t>A4</t>
  </si>
  <si>
    <t>Ne termine pas ses travaux ou devoirs malgré des capacités suffisantes.</t>
  </si>
  <si>
    <t>A5</t>
  </si>
  <si>
    <t>A des difficultés à planifier, organiser ou répartir son travail.</t>
  </si>
  <si>
    <t>A6</t>
  </si>
  <si>
    <t>A de la difficulté à commencer une tâche (devoirs, travail, révisions), ce qui le/la met souvent en décalage.</t>
  </si>
  <si>
    <t>A7</t>
  </si>
  <si>
    <t>Perd fréquemment le matériel nécessaire au travail scolaire malgré les stratégies mises en place pour l’aider.</t>
  </si>
  <si>
    <t>A8</t>
  </si>
  <si>
    <t>Se laisse facilement distraire par l’environnement ou le numérique.</t>
  </si>
  <si>
    <t>A9</t>
  </si>
  <si>
    <t>Oublie des devoirs, échéances ou consignes.</t>
  </si>
  <si>
    <t>A10</t>
  </si>
  <si>
    <t>Évite ou repousse les tâches demandant un effort mental soutenu.</t>
  </si>
  <si>
    <t>Total catégorie</t>
  </si>
  <si>
    <t>HYPERACTIVITE-IMPULSIVITE</t>
  </si>
  <si>
    <t>B11</t>
  </si>
  <si>
    <t>Bouge souvent les mains, les pieds ou se balance sur sa chaise.</t>
  </si>
  <si>
    <t>B12</t>
  </si>
  <si>
    <t>A du mal à rester assis longtemps.</t>
  </si>
  <si>
    <t>B13</t>
  </si>
  <si>
    <t>Se lève ou se déplace à des moments inappropriés.</t>
  </si>
  <si>
    <t>B14</t>
  </si>
  <si>
    <t>Ressent une agitation intérieure ou une impatience constante.</t>
  </si>
  <si>
    <t>B15</t>
  </si>
  <si>
    <t>Parle excessivement ou dans des situations inappropriées.</t>
  </si>
  <si>
    <t>B16</t>
  </si>
  <si>
    <t>Répond avant la fin des questions.</t>
  </si>
  <si>
    <t>B17</t>
  </si>
  <si>
    <t>A du mal à attendre son tour.</t>
  </si>
  <si>
    <t>B18</t>
  </si>
  <si>
    <t>Interrompt souvent les autres.</t>
  </si>
  <si>
    <t>DEVOIRS</t>
  </si>
  <si>
    <t>C19</t>
  </si>
  <si>
    <t>Met beaucoup de temps à commencer ses devoirs sans aide.</t>
  </si>
  <si>
    <t>C20</t>
  </si>
  <si>
    <t>A besoin d’une présence constante pour rester au travail.</t>
  </si>
  <si>
    <t>C21</t>
  </si>
  <si>
    <t>Les devoirs provoquent des tensions ou conflits à la maison.</t>
  </si>
  <si>
    <t>C22</t>
  </si>
  <si>
    <t>Se décourage rapidement face aux devoirs longs ou difficiles.</t>
  </si>
  <si>
    <t>C23</t>
  </si>
  <si>
    <t>Oublie ou ne rend pas des devoirs pourtant faits.</t>
  </si>
  <si>
    <t>C24</t>
  </si>
  <si>
    <t>Travaille de manière très irrégulière (proportionnellement à l'intérêt).</t>
  </si>
  <si>
    <t>C25</t>
  </si>
  <si>
    <t>A du mal à gérer le temps nécessaire aux devoirs.</t>
  </si>
  <si>
    <t>C26</t>
  </si>
  <si>
    <t>Procrastine presque systématiquement.</t>
  </si>
  <si>
    <t>C27</t>
  </si>
  <si>
    <t>Se fatigue mentalement très vite pendant les devoirs.</t>
  </si>
  <si>
    <t>Réactions de confrontation (contexte scolaire)</t>
  </si>
  <si>
    <t>RC1</t>
  </si>
  <si>
    <t>Refuse ou conteste une consigne lorsqu’elle est perçue comme trop difficile.</t>
  </si>
  <si>
    <t>RC2</t>
  </si>
  <si>
    <t>Réagit avec colère, opposition ou provocation après un échec ou une remarque.</t>
  </si>
  <si>
    <t>RC3</t>
  </si>
  <si>
    <t>Entre en négociation excessive ou en marchandage pour éviter une tâche.</t>
  </si>
  <si>
    <t>RC4</t>
  </si>
  <si>
    <t>Adopte une attitude de défi ou de confrontation envers l’adulte.</t>
  </si>
  <si>
    <t>RC5</t>
  </si>
  <si>
    <t>Se désengage volontairement de la tâche (silence, immobilité, refus d’écrire ou de parler).</t>
  </si>
  <si>
    <t>RC6</t>
  </si>
  <si>
    <t>Attribue la responsabilité de la situation à l’adulte ou au cadre scolaire.</t>
  </si>
  <si>
    <t>RC7</t>
  </si>
  <si>
    <t>Refuse ou rejette l’aide proposée lorsqu’une tâche devient difficile.</t>
  </si>
  <si>
    <t>RC8</t>
  </si>
  <si>
    <t>A des difficultés à se calmer après un conflit ou une montée émotionnelle.</t>
  </si>
  <si>
    <t>RC9</t>
  </si>
  <si>
    <t>A des difficultés à reprendre une tâche après une pause ou un temps de régulation.</t>
  </si>
  <si>
    <t>RC10</t>
  </si>
  <si>
    <t>A des difficultés à réparer la relation après un conflit (excuses, reprise du lien).</t>
  </si>
  <si>
    <t>Total – Réactions de confrontation</t>
  </si>
  <si>
    <t>IMPACT</t>
  </si>
  <si>
    <t>D28</t>
  </si>
  <si>
    <t>Les difficultés ont un impact sur les résultats scolaires.</t>
  </si>
  <si>
    <t>D29</t>
  </si>
  <si>
    <t>Elles affectent la relation avec les enseignants.</t>
  </si>
  <si>
    <t>D30</t>
  </si>
  <si>
    <t>Elles génèrent du stress, une démotivation ou une baisse d’estime de soi.</t>
  </si>
  <si>
    <t>Synthèse des scores</t>
  </si>
  <si>
    <t>Nom de l’élève</t>
  </si>
  <si>
    <t>Évaluateur</t>
  </si>
  <si>
    <t>Classe</t>
  </si>
  <si>
    <t>Date</t>
  </si>
  <si>
    <t xml:space="preserve">Evaluation 1 :                            Evaluation 2 :             </t>
  </si>
  <si>
    <t>Catégorie</t>
  </si>
  <si>
    <t>Total</t>
  </si>
  <si>
    <t>Max</t>
  </si>
  <si>
    <t>Pourcentage</t>
  </si>
  <si>
    <t>Inattention</t>
  </si>
  <si>
    <t>Hyper/Impulsivité</t>
  </si>
  <si>
    <t>Impact</t>
  </si>
  <si>
    <t>Sous-scores (fonctions exécutives et réactions)</t>
  </si>
  <si>
    <t>Activation</t>
  </si>
  <si>
    <t>Organisation</t>
  </si>
  <si>
    <t>Devoirs</t>
  </si>
  <si>
    <t>Réactions de confrontation</t>
  </si>
  <si>
    <t>Dimension</t>
  </si>
  <si>
    <t xml:space="preserve">   </t>
  </si>
  <si>
    <t>Interprétation – outil de repérage (usage éducatif, non diagnostique)</t>
  </si>
  <si>
    <t>Seuils indicatifs (à adapter selon le contexte)</t>
  </si>
  <si>
    <t>Faible</t>
  </si>
  <si>
    <t>Modéré</t>
  </si>
  <si>
    <t>Élevé</t>
  </si>
  <si>
    <t>Actions pédagogiques prioritaires</t>
  </si>
  <si>
    <t>Inattention (0–30)</t>
  </si>
  <si>
    <t>0–9</t>
  </si>
  <si>
    <t>10–17</t>
  </si>
  <si>
    <t>≥18</t>
  </si>
  <si>
    <t>Activation, fractionnement, guidage du démarrage, aides visuelles</t>
  </si>
  <si>
    <t>Hyper/Impulsivité (0–24)</t>
  </si>
  <si>
    <t>0–7</t>
  </si>
  <si>
    <t>8–13</t>
  </si>
  <si>
    <t>≥14</t>
  </si>
  <si>
    <t>Pauses motrices, contrat de classe, prévention, canaliser l’énergie</t>
  </si>
  <si>
    <t>Devoirs (0–27)</t>
  </si>
  <si>
    <t>0–8</t>
  </si>
  <si>
    <t>9–15</t>
  </si>
  <si>
    <t>≥16</t>
  </si>
  <si>
    <t>Ritualiser, alléger, structurer, planifier, feedback court</t>
  </si>
  <si>
    <t>Impact (0–9)</t>
  </si>
  <si>
    <t>0–2</t>
  </si>
  <si>
    <t>3–5</t>
  </si>
  <si>
    <t>≥6</t>
  </si>
  <si>
    <t>Coordination école–famille–réseau, soutien émotionnel</t>
  </si>
  <si>
    <t>Activation (0–12)</t>
  </si>
  <si>
    <t>0–3</t>
  </si>
  <si>
    <t>4–7</t>
  </si>
  <si>
    <t>≥8</t>
  </si>
  <si>
    <t>Micro-objectifs, minuteur, démarrage guidé, renforcement</t>
  </si>
  <si>
    <t>Organisation (0–15)</t>
  </si>
  <si>
    <t>0–4</t>
  </si>
  <si>
    <t>5–9</t>
  </si>
  <si>
    <t>≥10</t>
  </si>
  <si>
    <t>Checklists, routines, organisation matériel, agenda</t>
  </si>
  <si>
    <t>Réactions confrontation (0-30)</t>
  </si>
  <si>
    <t>0-9</t>
  </si>
  <si>
    <t>10-19</t>
  </si>
  <si>
    <t>≥20</t>
  </si>
  <si>
    <t>Voir Checklist dans feuille "Intervention"</t>
  </si>
  <si>
    <t>Lecture transversale</t>
  </si>
  <si>
    <t>• A et/ou B élevés + D élevé : repérage fort → adaptations immédiates + discussion réseau.</t>
  </si>
  <si>
    <t>• C élevé isolé : difficulté d’autonomie / organisation / contexte familial → plan devoirs.</t>
  </si>
  <si>
    <t>• D : Score faible : réactions ponctuelles, souvent liées au contexte ou à la fatigue. / Score modéré : réactions fréquentes nécessitant des ajustements pédagogiques et relationnels. / Score élevé : difficultés marquées d’autorégulation dans les situations de contrainte.</t>
  </si>
  <si>
    <t>• Toujours rechercher : difficultés d’apprentissage, anxiété, sommeil, stress, dynamique relationnelle.</t>
  </si>
  <si>
    <t>Ressources et capacités de régulation de l’élève</t>
  </si>
  <si>
    <t>Cette feuille vise à identifier les ressources, compétences et capacités de régulation émotionnelle, comportementale et cognitive de l’élève afin de soutenir l’intervention. La présence d’une ressource, même partielle ou contextuelle, constitue un levier d’évolution.</t>
  </si>
  <si>
    <t>Domaine</t>
  </si>
  <si>
    <t>Capacité / ressource observée</t>
  </si>
  <si>
    <t>Présence (0–3)</t>
  </si>
  <si>
    <t>Commentaires / exemples</t>
  </si>
  <si>
    <t>Régulation émotionnelle</t>
  </si>
  <si>
    <t>Peut retrouver le calme après un temps de pause ou avec aide.</t>
  </si>
  <si>
    <t>Peut se calmer après un délai (même long) sans escalader davantage.</t>
  </si>
  <si>
    <t>Accepte une pause proposée ou un changement de rythme.</t>
  </si>
  <si>
    <t>Identifie ses émotions ou signaux de débordement (même après coup).</t>
  </si>
  <si>
    <t>Peut utiliser un outil apaisant (respiration, objet, musique, coin calme) lorsqu’il/elle y est invité(e).</t>
  </si>
  <si>
    <t>Peut demander de l’aide ou un temps de pause avant de “déborder” (même rarement).</t>
  </si>
  <si>
    <t>Régulation comportementale</t>
  </si>
  <si>
    <t>Accepte une médiation adulte lors d’un conflit.</t>
  </si>
  <si>
    <t>Peut différer une réaction (attendre, respirer, se lever) avec aide.</t>
  </si>
  <si>
    <t>Parvient à reprendre une activité après désescalade.</t>
  </si>
  <si>
    <t>Parvient à réparer la relation après un conflit (excuses, reprise du lien) avec guidance.</t>
  </si>
  <si>
    <t>Suit une consigne après reformulation / clarification (2e essai).</t>
  </si>
  <si>
    <t>Métacognition</t>
  </si>
  <si>
    <t>Reconnaît après coup ce qui a déclenché la difficulté (tâche, fatigue, injustice perçue, bruit…).</t>
  </si>
  <si>
    <t>Peut dire ce qui l’aide / ce qui le gêne (même de façon simple).</t>
  </si>
  <si>
    <t>Accepte un bref retour réflexif (débrief 1–2 min) après une situation difficile.</t>
  </si>
  <si>
    <t>Peut anticiper une situation à risque et accepter une stratégie préventive.</t>
  </si>
  <si>
    <t>Fonctions exécutives</t>
  </si>
  <si>
    <t>Peut se mettre au travail lorsque le démarrage est guidé.</t>
  </si>
  <si>
    <t>Maintient l’effort sur un temps court et structuré.</t>
  </si>
  <si>
    <t>Accepte le fractionnement de la tâche et les micro-objectifs.</t>
  </si>
  <si>
    <t>Bénéficie d’un minuteur / d’un temps visible pour tenir l’effort.</t>
  </si>
  <si>
    <t>Utilise ou accepte des supports visuels (checklist, plan, surlignage, étapes).</t>
  </si>
  <si>
    <t>Peut revenir à la tâche après une distraction si on le/la relance calmement.</t>
  </si>
  <si>
    <t>Relationnel</t>
  </si>
  <si>
    <t>Réagit positivement à une relation adulte sécurisante (calme, constance, respect).</t>
  </si>
  <si>
    <t>Accepte l’aide ou les encouragements quand la relation est de confiance.</t>
  </si>
  <si>
    <t>Peut coopérer en dyade / petit groupe mieux qu’en grand groupe.</t>
  </si>
  <si>
    <t>Cherche le lien après un conflit (regard, proximité, tentative de réparation).</t>
  </si>
  <si>
    <t>Motivation / intérêts</t>
  </si>
  <si>
    <t>S’engage davantage lorsque la tâche a du sens pour lui/elle.</t>
  </si>
  <si>
    <t>Réagit positivement à la valorisation des efforts (renforcement, feedback).</t>
  </si>
  <si>
    <t>Peut se concentrer longtemps sur un intérêt spécifique (hyperfocus) — à mobiliser pédagogiquement.</t>
  </si>
  <si>
    <t>Se montre motivé(e) par des objectifs concrets et proches (défis courts, progression visible).</t>
  </si>
  <si>
    <t>Environnement / cadre</t>
  </si>
  <si>
    <t>Bénéficie d’un cadre clair et prévisible (routines, règles stables).</t>
  </si>
  <si>
    <t>Bénéficie de pauses ou d’ajustements environnementaux (place, bruit, matériel).</t>
  </si>
  <si>
    <t>Bénéficie d’un adulte “référent” ou d’un point d’ancrage relationnel.</t>
  </si>
  <si>
    <t>Autres ressources personnalisées (à compléter)</t>
  </si>
  <si>
    <t>Document de synthèse-suivi-décisions-intervention</t>
  </si>
  <si>
    <t>Participants (rôle)</t>
  </si>
  <si>
    <t>Contexte / forces / déclencheurs</t>
  </si>
  <si>
    <t>Scores</t>
  </si>
  <si>
    <t>Outil de prévention et de régulation (non disciplinaire)
🧠 AVANT la tâche (prévenir)
☐ Consigne courte, claire, donnée une seule fois
☐ Tâche fractionnée (1 objectif à la fois)
☐ Quantité réduite (niveau inchangé)
☐ Choix cadré proposé (A ou B)
☐ Temps de travail limité et visible (minuteur)
▶️ DÉMARRAGE (clé)
☐ Démarrage guidé (1re étape faite avec l’adulte)
☐ Vérification rapide de la compréhension
☐ Objectif atteignable annoncé
☐ Valorisation de l’entrée dans la tâche (pas du résultat)
⚠️ SIGNAUX D’ALERTE (intervenir tôt)
☐ Agitation / négociation / évitement repérés
☐ Pause anticipée proposée (sans justification)
☐ Voix calme, posture basse
☐ Interaction discrète (pas publique)
🔥 EN CAS DE MONTÉE
☐ Sortie de la tâche avant l’explosion
☐ Pas de rapport de force
☐ Pas de sanction à chaud
☐ L’adulte co-régule (prête son calme)
🧩 APRÈS (réparer)
☐ Retour au calme avant toute exigence
☐ Réparation guidée (faits, pas intention)
☐ Reprise partielle de la tâche si possible
☐ Valorisation du retour au calme / de l’effort
🚫 À ÉVITER (toujours)
☐ Ironie / défi / bras de fer
☐ Multiplication des rappels verbaux
☐ Punition immédiate
☐ Moralisation</t>
  </si>
  <si>
    <t>Stratégies relationnelles</t>
  </si>
  <si>
    <t xml:space="preserve">Hypothèses / besoins prioritaires </t>
  </si>
  <si>
    <t>Responsables &amp; échéance</t>
  </si>
  <si>
    <t>Aménagements décidés en classe</t>
  </si>
  <si>
    <t>Indicateurs de progrès (observables)</t>
  </si>
  <si>
    <t>Références : DSM-5-TR (APA, 2022) ; Conners 3 ; Barkley (fonctions exécutives) ; Gaudreau &amp; Nadeau (fonctionnement scolaire)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</si>
</sst>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>
    <font>
      <sz val="11"/>
      <color theme="1"/>
      <name val="Calibri"/>
      <family val="2"/>
      <scheme val="minor"/>
    </font>
    <font>
      <b/>
      <sz val="11"/>
      <name val="Calibri"/>
    </font>
    <font>
      <b/>
      <sz val="14"/>
      <name val="Calibri"/>
    </font>
    <font>
      <b/>
      <sz val="11"/>
      <color theme="1"/>
      <name val="Calibri"/>
      <family val="2"/>
      <scheme val="minor"/>
    </font>
    <font>
      <b/>
      <sz val="11"/>
      <name val="Calibri"/>
      <family val="2"/>
    </font>
    <font>
      <b/>
      <sz val="14"/>
      <name val="Calibri"/>
      <family val="2"/>
    </font>
    <font>
      <sz val="11"/>
      <name val="Calibri"/>
      <family val="2"/>
    </font>
    <font>
      <b/>
      <sz val="12"/>
      <color theme="1"/>
      <name val="Calibri"/>
      <family val="2"/>
      <scheme val="minor"/>
    </font>
    <font>
      <sz val="8"/>
      <name val="Calibri"/>
      <family val="2"/>
      <scheme val="minor"/>
    </font>
    <font>
      <i/>
      <sz val="11"/>
      <color theme="1"/>
      <name val="Calibri"/>
      <family val="2"/>
      <scheme val="minor"/>
    </font>
  </fonts>
  <fills count="14">
    <fill>
      <patternFill patternType="none"/>
    </fill>
    <fill>
      <patternFill patternType="gray125"/>
    </fill>
    <fill>
      <patternFill patternType="solid">
        <fgColor theme="3" tint="0.59999389629810485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rgb="FFF2F2F2"/>
      </patternFill>
    </fill>
    <fill>
      <patternFill patternType="solid">
        <fgColor theme="2"/>
        <bgColor indexed="64"/>
      </patternFill>
    </fill>
    <fill>
      <patternFill patternType="solid">
        <fgColor theme="6" tint="0.59999389629810485"/>
        <bgColor indexed="64"/>
      </patternFill>
    </fill>
  </fills>
  <borders count="27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auto="1"/>
      </top>
      <bottom style="thin">
        <color auto="1"/>
      </bottom>
      <diagonal/>
    </border>
    <border>
      <left style="medium">
        <color indexed="64"/>
      </left>
      <right style="medium">
        <color indexed="64"/>
      </right>
      <top style="thin">
        <color auto="1"/>
      </top>
      <bottom style="medium">
        <color indexed="64"/>
      </bottom>
      <diagonal/>
    </border>
    <border>
      <left style="medium">
        <color indexed="64"/>
      </left>
      <right style="thin">
        <color auto="1"/>
      </right>
      <top style="medium">
        <color indexed="64"/>
      </top>
      <bottom style="thin">
        <color auto="1"/>
      </bottom>
      <diagonal/>
    </border>
    <border>
      <left style="thin">
        <color auto="1"/>
      </left>
      <right style="medium">
        <color indexed="64"/>
      </right>
      <top style="medium">
        <color indexed="64"/>
      </top>
      <bottom style="thin">
        <color auto="1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 style="medium">
        <color indexed="64"/>
      </left>
      <right style="medium">
        <color indexed="64"/>
      </right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auto="1"/>
      </right>
      <top/>
      <bottom style="medium">
        <color indexed="64"/>
      </bottom>
      <diagonal/>
    </border>
    <border>
      <left style="thin">
        <color auto="1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110">
    <xf numFmtId="0" fontId="0" fillId="0" borderId="0" xfId="0"/>
    <xf numFmtId="0" fontId="1" fillId="0" borderId="0" xfId="0" applyFont="1"/>
    <xf numFmtId="0" fontId="1" fillId="0" borderId="0" xfId="0" applyFont="1" applyAlignment="1">
      <alignment vertical="top"/>
    </xf>
    <xf numFmtId="0" fontId="1" fillId="3" borderId="1" xfId="0" applyFont="1" applyFill="1" applyBorder="1"/>
    <xf numFmtId="0" fontId="1" fillId="3" borderId="1" xfId="0" applyFont="1" applyFill="1" applyBorder="1" applyAlignment="1">
      <alignment horizontal="center" vertical="center"/>
    </xf>
    <xf numFmtId="0" fontId="0" fillId="7" borderId="1" xfId="0" applyFill="1" applyBorder="1"/>
    <xf numFmtId="0" fontId="0" fillId="7" borderId="1" xfId="0" applyFill="1" applyBorder="1" applyAlignment="1">
      <alignment horizontal="center" vertical="center"/>
    </xf>
    <xf numFmtId="0" fontId="0" fillId="8" borderId="1" xfId="0" applyFill="1" applyBorder="1"/>
    <xf numFmtId="0" fontId="0" fillId="8" borderId="1" xfId="0" applyFill="1" applyBorder="1" applyAlignment="1">
      <alignment horizontal="center" vertical="center"/>
    </xf>
    <xf numFmtId="0" fontId="6" fillId="7" borderId="1" xfId="0" applyFont="1" applyFill="1" applyBorder="1"/>
    <xf numFmtId="0" fontId="6" fillId="8" borderId="1" xfId="0" applyFont="1" applyFill="1" applyBorder="1"/>
    <xf numFmtId="0" fontId="1" fillId="9" borderId="0" xfId="0" applyFont="1" applyFill="1" applyAlignment="1">
      <alignment horizontal="center" vertical="center"/>
    </xf>
    <xf numFmtId="0" fontId="1" fillId="9" borderId="1" xfId="0" applyFont="1" applyFill="1" applyBorder="1" applyAlignment="1">
      <alignment horizontal="center" vertical="center"/>
    </xf>
    <xf numFmtId="0" fontId="0" fillId="9" borderId="0" xfId="0" applyFill="1"/>
    <xf numFmtId="0" fontId="0" fillId="7" borderId="0" xfId="0" applyFill="1" applyAlignment="1">
      <alignment vertical="top" wrapText="1"/>
    </xf>
    <xf numFmtId="0" fontId="0" fillId="8" borderId="0" xfId="0" applyFill="1" applyAlignment="1">
      <alignment vertical="top" wrapText="1"/>
    </xf>
    <xf numFmtId="0" fontId="0" fillId="7" borderId="0" xfId="0" applyFill="1" applyAlignment="1">
      <alignment horizontal="center" vertical="top" wrapText="1"/>
    </xf>
    <xf numFmtId="0" fontId="0" fillId="8" borderId="0" xfId="0" applyFill="1" applyAlignment="1">
      <alignment horizontal="center" vertical="top" wrapText="1"/>
    </xf>
    <xf numFmtId="0" fontId="1" fillId="6" borderId="1" xfId="0" applyFont="1" applyFill="1" applyBorder="1"/>
    <xf numFmtId="0" fontId="1" fillId="6" borderId="1" xfId="0" applyFont="1" applyFill="1" applyBorder="1" applyAlignment="1">
      <alignment vertical="top"/>
    </xf>
    <xf numFmtId="0" fontId="1" fillId="7" borderId="1" xfId="0" applyFont="1" applyFill="1" applyBorder="1"/>
    <xf numFmtId="0" fontId="1" fillId="8" borderId="1" xfId="0" applyFont="1" applyFill="1" applyBorder="1"/>
    <xf numFmtId="0" fontId="1" fillId="0" borderId="0" xfId="0" applyFont="1" applyAlignment="1">
      <alignment vertical="top" wrapText="1"/>
    </xf>
    <xf numFmtId="0" fontId="3" fillId="0" borderId="0" xfId="0" applyFont="1" applyAlignment="1">
      <alignment wrapText="1"/>
    </xf>
    <xf numFmtId="0" fontId="4" fillId="0" borderId="0" xfId="0" applyFont="1" applyAlignment="1">
      <alignment vertical="top" wrapText="1"/>
    </xf>
    <xf numFmtId="9" fontId="3" fillId="7" borderId="1" xfId="0" applyNumberFormat="1" applyFont="1" applyFill="1" applyBorder="1" applyAlignment="1">
      <alignment horizontal="center" vertical="center"/>
    </xf>
    <xf numFmtId="9" fontId="3" fillId="8" borderId="1" xfId="0" applyNumberFormat="1" applyFont="1" applyFill="1" applyBorder="1" applyAlignment="1">
      <alignment horizontal="center" vertical="center"/>
    </xf>
    <xf numFmtId="0" fontId="3" fillId="0" borderId="0" xfId="0" applyFont="1" applyAlignment="1">
      <alignment horizontal="center"/>
    </xf>
    <xf numFmtId="0" fontId="1" fillId="9" borderId="3" xfId="0" applyFont="1" applyFill="1" applyBorder="1" applyAlignment="1">
      <alignment horizontal="center" vertical="center"/>
    </xf>
    <xf numFmtId="0" fontId="0" fillId="7" borderId="3" xfId="0" applyFill="1" applyBorder="1" applyAlignment="1">
      <alignment horizontal="center" vertical="center"/>
    </xf>
    <xf numFmtId="0" fontId="0" fillId="8" borderId="3" xfId="0" applyFill="1" applyBorder="1" applyAlignment="1">
      <alignment horizontal="center" vertical="center"/>
    </xf>
    <xf numFmtId="0" fontId="0" fillId="7" borderId="5" xfId="0" applyFill="1" applyBorder="1" applyAlignment="1">
      <alignment horizontal="center" vertical="center"/>
    </xf>
    <xf numFmtId="0" fontId="0" fillId="8" borderId="5" xfId="0" applyFill="1" applyBorder="1" applyAlignment="1">
      <alignment horizontal="center" vertical="center"/>
    </xf>
    <xf numFmtId="9" fontId="3" fillId="7" borderId="7" xfId="0" applyNumberFormat="1" applyFont="1" applyFill="1" applyBorder="1" applyAlignment="1">
      <alignment horizontal="center"/>
    </xf>
    <xf numFmtId="9" fontId="3" fillId="8" borderId="7" xfId="0" applyNumberFormat="1" applyFont="1" applyFill="1" applyBorder="1" applyAlignment="1">
      <alignment horizontal="center"/>
    </xf>
    <xf numFmtId="9" fontId="3" fillId="7" borderId="8" xfId="0" applyNumberFormat="1" applyFont="1" applyFill="1" applyBorder="1" applyAlignment="1">
      <alignment horizontal="center"/>
    </xf>
    <xf numFmtId="0" fontId="0" fillId="7" borderId="3" xfId="0" applyFill="1" applyBorder="1"/>
    <xf numFmtId="0" fontId="0" fillId="8" borderId="3" xfId="0" applyFill="1" applyBorder="1"/>
    <xf numFmtId="0" fontId="4" fillId="9" borderId="9" xfId="0" applyFont="1" applyFill="1" applyBorder="1" applyAlignment="1">
      <alignment horizontal="center" vertical="center"/>
    </xf>
    <xf numFmtId="0" fontId="3" fillId="9" borderId="10" xfId="0" applyFont="1" applyFill="1" applyBorder="1" applyAlignment="1">
      <alignment horizontal="center"/>
    </xf>
    <xf numFmtId="9" fontId="3" fillId="7" borderId="11" xfId="0" applyNumberFormat="1" applyFont="1" applyFill="1" applyBorder="1" applyAlignment="1">
      <alignment horizontal="center" vertical="center"/>
    </xf>
    <xf numFmtId="9" fontId="3" fillId="7" borderId="12" xfId="0" applyNumberFormat="1" applyFont="1" applyFill="1" applyBorder="1" applyAlignment="1">
      <alignment horizontal="center"/>
    </xf>
    <xf numFmtId="9" fontId="3" fillId="8" borderId="11" xfId="0" applyNumberFormat="1" applyFont="1" applyFill="1" applyBorder="1" applyAlignment="1">
      <alignment horizontal="center" vertical="center"/>
    </xf>
    <xf numFmtId="9" fontId="3" fillId="8" borderId="12" xfId="0" applyNumberFormat="1" applyFont="1" applyFill="1" applyBorder="1" applyAlignment="1">
      <alignment horizontal="center"/>
    </xf>
    <xf numFmtId="0" fontId="1" fillId="9" borderId="14" xfId="0" applyFont="1" applyFill="1" applyBorder="1" applyAlignment="1">
      <alignment horizontal="center" vertical="center"/>
    </xf>
    <xf numFmtId="0" fontId="1" fillId="9" borderId="15" xfId="0" applyFont="1" applyFill="1" applyBorder="1" applyAlignment="1">
      <alignment horizontal="center" vertical="center"/>
    </xf>
    <xf numFmtId="0" fontId="4" fillId="9" borderId="16" xfId="0" applyFont="1" applyFill="1" applyBorder="1" applyAlignment="1">
      <alignment horizontal="center" vertical="center"/>
    </xf>
    <xf numFmtId="0" fontId="1" fillId="9" borderId="17" xfId="0" applyFont="1" applyFill="1" applyBorder="1" applyAlignment="1">
      <alignment horizontal="center" vertical="center"/>
    </xf>
    <xf numFmtId="0" fontId="4" fillId="10" borderId="6" xfId="0" applyFont="1" applyFill="1" applyBorder="1" applyAlignment="1">
      <alignment horizontal="center" vertical="center"/>
    </xf>
    <xf numFmtId="0" fontId="1" fillId="6" borderId="1" xfId="0" applyFont="1" applyFill="1" applyBorder="1" applyAlignment="1">
      <alignment vertical="center"/>
    </xf>
    <xf numFmtId="0" fontId="4" fillId="5" borderId="1" xfId="0" applyFont="1" applyFill="1" applyBorder="1" applyAlignment="1">
      <alignment horizontal="center"/>
    </xf>
    <xf numFmtId="49" fontId="0" fillId="0" borderId="0" xfId="0" applyNumberFormat="1" applyAlignment="1">
      <alignment vertical="top"/>
    </xf>
    <xf numFmtId="49" fontId="0" fillId="0" borderId="0" xfId="0" applyNumberFormat="1" applyAlignment="1">
      <alignment vertical="top" wrapText="1"/>
    </xf>
    <xf numFmtId="0" fontId="0" fillId="0" borderId="0" xfId="0" applyAlignment="1">
      <alignment horizontal="center"/>
    </xf>
    <xf numFmtId="0" fontId="0" fillId="0" borderId="0" xfId="0" applyAlignment="1">
      <alignment wrapText="1"/>
    </xf>
    <xf numFmtId="0" fontId="2" fillId="0" borderId="0" xfId="0" applyFont="1"/>
    <xf numFmtId="0" fontId="0" fillId="0" borderId="0" xfId="0" applyAlignment="1">
      <alignment horizontal="center" vertical="center"/>
    </xf>
    <xf numFmtId="0" fontId="1" fillId="3" borderId="1" xfId="0" applyFont="1" applyFill="1" applyBorder="1" applyAlignment="1">
      <alignment horizontal="center"/>
    </xf>
    <xf numFmtId="0" fontId="4" fillId="9" borderId="0" xfId="0" applyFont="1" applyFill="1"/>
    <xf numFmtId="9" fontId="3" fillId="7" borderId="24" xfId="0" applyNumberFormat="1" applyFont="1" applyFill="1" applyBorder="1" applyAlignment="1">
      <alignment horizontal="center" vertical="center"/>
    </xf>
    <xf numFmtId="9" fontId="3" fillId="7" borderId="25" xfId="0" applyNumberFormat="1" applyFont="1" applyFill="1" applyBorder="1" applyAlignment="1">
      <alignment horizontal="center"/>
    </xf>
    <xf numFmtId="0" fontId="0" fillId="7" borderId="15" xfId="0" applyFill="1" applyBorder="1" applyAlignment="1">
      <alignment horizontal="center" vertical="center"/>
    </xf>
    <xf numFmtId="9" fontId="3" fillId="7" borderId="26" xfId="0" applyNumberFormat="1" applyFont="1" applyFill="1" applyBorder="1" applyAlignment="1">
      <alignment horizontal="center"/>
    </xf>
    <xf numFmtId="49" fontId="0" fillId="7" borderId="0" xfId="0" applyNumberFormat="1" applyFill="1" applyAlignment="1">
      <alignment horizontal="center" vertical="top" wrapText="1"/>
    </xf>
    <xf numFmtId="0" fontId="4" fillId="8" borderId="1" xfId="0" applyFont="1" applyFill="1" applyBorder="1"/>
    <xf numFmtId="0" fontId="4" fillId="11" borderId="0" xfId="0" applyFont="1" applyFill="1"/>
    <xf numFmtId="0" fontId="3" fillId="4" borderId="0" xfId="0" applyFont="1" applyFill="1" applyAlignment="1">
      <alignment horizontal="center"/>
    </xf>
    <xf numFmtId="0" fontId="4" fillId="10" borderId="6" xfId="0" applyFont="1" applyFill="1" applyBorder="1" applyAlignment="1">
      <alignment horizontal="center" vertical="center"/>
    </xf>
    <xf numFmtId="0" fontId="3" fillId="10" borderId="6" xfId="0" applyFont="1" applyFill="1" applyBorder="1" applyAlignment="1">
      <alignment horizontal="center"/>
    </xf>
    <xf numFmtId="0" fontId="0" fillId="6" borderId="1" xfId="0" applyFill="1" applyBorder="1" applyAlignment="1">
      <alignment horizontal="center"/>
    </xf>
    <xf numFmtId="0" fontId="0" fillId="6" borderId="3" xfId="0" applyFill="1" applyBorder="1" applyAlignment="1">
      <alignment horizontal="center"/>
    </xf>
    <xf numFmtId="0" fontId="0" fillId="6" borderId="4" xfId="0" applyFill="1" applyBorder="1" applyAlignment="1">
      <alignment horizontal="center"/>
    </xf>
    <xf numFmtId="0" fontId="0" fillId="6" borderId="5" xfId="0" applyFill="1" applyBorder="1" applyAlignment="1">
      <alignment horizontal="center"/>
    </xf>
    <xf numFmtId="0" fontId="2" fillId="2" borderId="0" xfId="0" applyFont="1" applyFill="1" applyAlignment="1">
      <alignment horizontal="center"/>
    </xf>
    <xf numFmtId="0" fontId="0" fillId="8" borderId="0" xfId="0" applyFill="1" applyAlignment="1">
      <alignment horizontal="left"/>
    </xf>
    <xf numFmtId="0" fontId="2" fillId="2" borderId="0" xfId="0" applyFont="1" applyFill="1" applyAlignment="1">
      <alignment horizontal="left"/>
    </xf>
    <xf numFmtId="0" fontId="4" fillId="9" borderId="0" xfId="0" applyFont="1" applyFill="1" applyAlignment="1">
      <alignment horizontal="left"/>
    </xf>
    <xf numFmtId="0" fontId="0" fillId="7" borderId="0" xfId="0" applyFill="1" applyAlignment="1">
      <alignment horizontal="left"/>
    </xf>
    <xf numFmtId="0" fontId="0" fillId="7" borderId="0" xfId="0" applyFill="1" applyAlignment="1">
      <alignment horizontal="left" vertical="center" wrapText="1"/>
    </xf>
    <xf numFmtId="0" fontId="9" fillId="12" borderId="0" xfId="0" applyFont="1" applyFill="1" applyAlignment="1">
      <alignment horizontal="left" vertical="top" wrapText="1"/>
    </xf>
    <xf numFmtId="0" fontId="5" fillId="2" borderId="0" xfId="0" applyFont="1" applyFill="1" applyAlignment="1">
      <alignment horizontal="left"/>
    </xf>
    <xf numFmtId="49" fontId="0" fillId="13" borderId="0" xfId="0" applyNumberFormat="1" applyFill="1" applyAlignment="1">
      <alignment vertical="top" wrapText="1"/>
    </xf>
    <xf numFmtId="49" fontId="3" fillId="3" borderId="21" xfId="0" applyNumberFormat="1" applyFont="1" applyFill="1" applyBorder="1" applyAlignment="1">
      <alignment horizontal="left" vertical="top" wrapText="1"/>
    </xf>
    <xf numFmtId="49" fontId="3" fillId="3" borderId="22" xfId="0" applyNumberFormat="1" applyFont="1" applyFill="1" applyBorder="1" applyAlignment="1">
      <alignment horizontal="left" vertical="top" wrapText="1"/>
    </xf>
    <xf numFmtId="49" fontId="3" fillId="3" borderId="23" xfId="0" applyNumberFormat="1" applyFont="1" applyFill="1" applyBorder="1" applyAlignment="1">
      <alignment horizontal="left" vertical="top" wrapText="1"/>
    </xf>
    <xf numFmtId="49" fontId="3" fillId="3" borderId="2" xfId="0" applyNumberFormat="1" applyFont="1" applyFill="1" applyBorder="1" applyAlignment="1">
      <alignment horizontal="left" vertical="top" wrapText="1"/>
    </xf>
    <xf numFmtId="49" fontId="3" fillId="3" borderId="0" xfId="0" applyNumberFormat="1" applyFont="1" applyFill="1" applyAlignment="1">
      <alignment horizontal="left" vertical="top" wrapText="1"/>
    </xf>
    <xf numFmtId="49" fontId="3" fillId="3" borderId="13" xfId="0" applyNumberFormat="1" applyFont="1" applyFill="1" applyBorder="1" applyAlignment="1">
      <alignment horizontal="left" vertical="top" wrapText="1"/>
    </xf>
    <xf numFmtId="49" fontId="3" fillId="3" borderId="15" xfId="0" applyNumberFormat="1" applyFont="1" applyFill="1" applyBorder="1" applyAlignment="1">
      <alignment horizontal="left" vertical="top" wrapText="1"/>
    </xf>
    <xf numFmtId="49" fontId="3" fillId="3" borderId="18" xfId="0" applyNumberFormat="1" applyFont="1" applyFill="1" applyBorder="1" applyAlignment="1">
      <alignment horizontal="left" vertical="top" wrapText="1"/>
    </xf>
    <xf numFmtId="49" fontId="3" fillId="3" borderId="17" xfId="0" applyNumberFormat="1" applyFont="1" applyFill="1" applyBorder="1" applyAlignment="1">
      <alignment horizontal="left" vertical="top" wrapText="1"/>
    </xf>
    <xf numFmtId="9" fontId="3" fillId="7" borderId="1" xfId="0" applyNumberFormat="1" applyFont="1" applyFill="1" applyBorder="1" applyAlignment="1">
      <alignment horizontal="center" vertical="center"/>
    </xf>
    <xf numFmtId="9" fontId="3" fillId="8" borderId="3" xfId="0" applyNumberFormat="1" applyFont="1" applyFill="1" applyBorder="1" applyAlignment="1">
      <alignment horizontal="center" vertical="center"/>
    </xf>
    <xf numFmtId="9" fontId="3" fillId="8" borderId="5" xfId="0" applyNumberFormat="1" applyFont="1" applyFill="1" applyBorder="1" applyAlignment="1">
      <alignment horizontal="center" vertical="center"/>
    </xf>
    <xf numFmtId="49" fontId="0" fillId="3" borderId="22" xfId="0" applyNumberFormat="1" applyFill="1" applyBorder="1" applyAlignment="1">
      <alignment horizontal="left" vertical="top" wrapText="1"/>
    </xf>
    <xf numFmtId="49" fontId="0" fillId="3" borderId="23" xfId="0" applyNumberFormat="1" applyFill="1" applyBorder="1" applyAlignment="1">
      <alignment horizontal="left" vertical="top" wrapText="1"/>
    </xf>
    <xf numFmtId="49" fontId="0" fillId="3" borderId="2" xfId="0" applyNumberFormat="1" applyFill="1" applyBorder="1" applyAlignment="1">
      <alignment horizontal="left" vertical="top" wrapText="1"/>
    </xf>
    <xf numFmtId="49" fontId="0" fillId="3" borderId="0" xfId="0" applyNumberFormat="1" applyFill="1" applyAlignment="1">
      <alignment horizontal="left" vertical="top" wrapText="1"/>
    </xf>
    <xf numFmtId="49" fontId="0" fillId="3" borderId="13" xfId="0" applyNumberFormat="1" applyFill="1" applyBorder="1" applyAlignment="1">
      <alignment horizontal="left" vertical="top" wrapText="1"/>
    </xf>
    <xf numFmtId="49" fontId="0" fillId="3" borderId="15" xfId="0" applyNumberFormat="1" applyFill="1" applyBorder="1" applyAlignment="1">
      <alignment horizontal="left" vertical="top" wrapText="1"/>
    </xf>
    <xf numFmtId="49" fontId="0" fillId="3" borderId="18" xfId="0" applyNumberFormat="1" applyFill="1" applyBorder="1" applyAlignment="1">
      <alignment horizontal="left" vertical="top" wrapText="1"/>
    </xf>
    <xf numFmtId="49" fontId="0" fillId="3" borderId="17" xfId="0" applyNumberFormat="1" applyFill="1" applyBorder="1" applyAlignment="1">
      <alignment horizontal="left" vertical="top" wrapText="1"/>
    </xf>
    <xf numFmtId="49" fontId="3" fillId="9" borderId="0" xfId="0" applyNumberFormat="1" applyFont="1" applyFill="1" applyAlignment="1">
      <alignment horizontal="left" vertical="top" wrapText="1"/>
    </xf>
    <xf numFmtId="0" fontId="0" fillId="6" borderId="3" xfId="0" applyFill="1" applyBorder="1" applyAlignment="1">
      <alignment horizontal="left" vertical="center" wrapText="1"/>
    </xf>
    <xf numFmtId="0" fontId="0" fillId="6" borderId="4" xfId="0" applyFill="1" applyBorder="1" applyAlignment="1">
      <alignment horizontal="left" vertical="center" wrapText="1"/>
    </xf>
    <xf numFmtId="0" fontId="0" fillId="6" borderId="5" xfId="0" applyFill="1" applyBorder="1" applyAlignment="1">
      <alignment horizontal="left" vertical="center" wrapText="1"/>
    </xf>
    <xf numFmtId="0" fontId="4" fillId="10" borderId="19" xfId="0" applyFont="1" applyFill="1" applyBorder="1" applyAlignment="1">
      <alignment horizontal="center" vertical="center"/>
    </xf>
    <xf numFmtId="0" fontId="4" fillId="10" borderId="20" xfId="0" applyFont="1" applyFill="1" applyBorder="1" applyAlignment="1">
      <alignment horizontal="center" vertical="center"/>
    </xf>
    <xf numFmtId="9" fontId="3" fillId="8" borderId="1" xfId="0" applyNumberFormat="1" applyFont="1" applyFill="1" applyBorder="1" applyAlignment="1">
      <alignment horizontal="center" vertical="center"/>
    </xf>
    <xf numFmtId="0" fontId="7" fillId="0" borderId="0" xfId="0" applyFont="1" applyAlignment="1">
      <alignment horizontal="left"/>
    </xf>
  </cellXfs>
  <cellStyles count="1">
    <cellStyle name="Normal" xfId="0" builtinId="0"/>
  </cellStyles>
  <dxfs count="33">
    <dxf>
      <alignment horizontal="center" vertical="center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fill>
        <patternFill patternType="solid">
          <fgColor rgb="FFF4CCCC"/>
        </patternFill>
      </fill>
    </dxf>
    <dxf>
      <fill>
        <patternFill patternType="solid">
          <fgColor rgb="FFFCE5CD"/>
        </patternFill>
      </fill>
    </dxf>
    <dxf>
      <fill>
        <patternFill patternType="solid">
          <fgColor rgb="FFFFF2CC"/>
        </patternFill>
      </fill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fill>
        <patternFill patternType="solid">
          <fgColor rgb="FFF4CCCC"/>
        </patternFill>
      </fill>
    </dxf>
    <dxf>
      <fill>
        <patternFill patternType="solid">
          <fgColor rgb="FFFCE5CD"/>
        </patternFill>
      </fill>
    </dxf>
    <dxf>
      <fill>
        <patternFill patternType="solid">
          <fgColor rgb="FFFFF2CC"/>
        </patternFill>
      </fill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fill>
        <patternFill patternType="solid">
          <fgColor rgb="FFF4CCCC"/>
        </patternFill>
      </fill>
    </dxf>
    <dxf>
      <fill>
        <patternFill patternType="solid">
          <fgColor rgb="FFFCE5CD"/>
        </patternFill>
      </fill>
    </dxf>
    <dxf>
      <fill>
        <patternFill patternType="solid">
          <fgColor rgb="FFFFF2CC"/>
        </patternFill>
      </fill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fill>
        <patternFill patternType="solid">
          <fgColor rgb="FFF4CCCC"/>
        </patternFill>
      </fill>
    </dxf>
    <dxf>
      <fill>
        <patternFill patternType="solid">
          <fgColor rgb="FFFCE5CD"/>
        </patternFill>
      </fill>
    </dxf>
    <dxf>
      <fill>
        <patternFill patternType="solid">
          <fgColor rgb="FFFFF2CC"/>
        </patternFill>
      </fill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fill>
        <patternFill patternType="solid">
          <fgColor rgb="FFF4CCCC"/>
        </patternFill>
      </fill>
    </dxf>
    <dxf>
      <fill>
        <patternFill patternType="solid">
          <fgColor rgb="FFFCE5CD"/>
        </patternFill>
      </fill>
    </dxf>
    <dxf>
      <fill>
        <patternFill patternType="solid">
          <fgColor rgb="FFFFF2CC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customXml" Target="../customXml/item3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5" Type="http://schemas.openxmlformats.org/officeDocument/2006/relationships/customXml" Target="../customXml/item2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customXml" Target="../customXml/item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1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radarChart>
        <c:radarStyle val="marker"/>
        <c:varyColors val="1"/>
        <c:ser>
          <c:idx val="0"/>
          <c:order val="0"/>
          <c:tx>
            <c:v>Evaluation 1</c:v>
          </c:tx>
          <c:spPr>
            <a:ln w="34925" cap="rnd">
              <a:solidFill>
                <a:schemeClr val="accent1"/>
              </a:solidFill>
              <a:round/>
            </a:ln>
            <a:effectLst>
              <a:outerShdw blurRad="40000" dist="23000" dir="5400000" rotWithShape="0">
                <a:srgbClr val="000000">
                  <a:alpha val="35000"/>
                </a:srgbClr>
              </a:outerShdw>
            </a:effectLst>
          </c:spPr>
          <c:marker>
            <c:symbol val="none"/>
          </c:marker>
          <c:dPt>
            <c:idx val="0"/>
            <c:bubble3D val="0"/>
            <c:extLst>
              <c:ext xmlns:c16="http://schemas.microsoft.com/office/drawing/2014/chart" uri="{C3380CC4-5D6E-409C-BE32-E72D297353CC}">
                <c16:uniqueId val="{00000001-12A9-464D-947B-DDFAB296C560}"/>
              </c:ext>
            </c:extLst>
          </c:dPt>
          <c:dPt>
            <c:idx val="1"/>
            <c:bubble3D val="0"/>
            <c:extLst>
              <c:ext xmlns:c16="http://schemas.microsoft.com/office/drawing/2014/chart" uri="{C3380CC4-5D6E-409C-BE32-E72D297353CC}">
                <c16:uniqueId val="{00000000-EC9C-48B9-A7A3-34AEE3C51716}"/>
              </c:ext>
            </c:extLst>
          </c:dPt>
          <c:dPt>
            <c:idx val="2"/>
            <c:bubble3D val="0"/>
            <c:extLst>
              <c:ext xmlns:c16="http://schemas.microsoft.com/office/drawing/2014/chart" uri="{C3380CC4-5D6E-409C-BE32-E72D297353CC}">
                <c16:uniqueId val="{00000005-12A9-464D-947B-DDFAB296C560}"/>
              </c:ext>
            </c:extLst>
          </c:dPt>
          <c:dPt>
            <c:idx val="3"/>
            <c:bubble3D val="0"/>
            <c:extLst>
              <c:ext xmlns:c16="http://schemas.microsoft.com/office/drawing/2014/chart" uri="{C3380CC4-5D6E-409C-BE32-E72D297353CC}">
                <c16:uniqueId val="{00000007-12A9-464D-947B-DDFAB296C560}"/>
              </c:ext>
            </c:extLst>
          </c:dPt>
          <c:dPt>
            <c:idx val="4"/>
            <c:bubble3D val="0"/>
            <c:extLst>
              <c:ext xmlns:c16="http://schemas.microsoft.com/office/drawing/2014/chart" uri="{C3380CC4-5D6E-409C-BE32-E72D297353CC}">
                <c16:uniqueId val="{00000009-12A9-464D-947B-DDFAB296C560}"/>
              </c:ext>
            </c:extLst>
          </c:dPt>
          <c:dPt>
            <c:idx val="5"/>
            <c:bubble3D val="0"/>
            <c:extLst>
              <c:ext xmlns:c16="http://schemas.microsoft.com/office/drawing/2014/chart" uri="{C3380CC4-5D6E-409C-BE32-E72D297353CC}">
                <c16:uniqueId val="{00000001-EC9C-48B9-A7A3-34AEE3C51716}"/>
              </c:ext>
            </c:extLst>
          </c:dPt>
          <c:dLbls>
            <c:delete val="1"/>
          </c:dLbls>
          <c:cat>
            <c:strRef>
              <c:f>Synthèse!$A$20:$A$26</c:f>
              <c:strCache>
                <c:ptCount val="7"/>
                <c:pt idx="0">
                  <c:v>Inattention</c:v>
                </c:pt>
                <c:pt idx="1">
                  <c:v>Hyper/Impulsivité</c:v>
                </c:pt>
                <c:pt idx="2">
                  <c:v>Devoirs</c:v>
                </c:pt>
                <c:pt idx="3">
                  <c:v>Impact</c:v>
                </c:pt>
                <c:pt idx="4">
                  <c:v>Activation</c:v>
                </c:pt>
                <c:pt idx="5">
                  <c:v>Organisation</c:v>
                </c:pt>
                <c:pt idx="6">
                  <c:v>Réactions de confrontation</c:v>
                </c:pt>
              </c:strCache>
            </c:strRef>
          </c:cat>
          <c:val>
            <c:numRef>
              <c:f>Synthèse!$B$20:$B$26</c:f>
              <c:numCache>
                <c:formatCode>0%</c:formatCode>
                <c:ptCount val="7"/>
                <c:pt idx="0">
                  <c:v>0.67</c:v>
                </c:pt>
                <c:pt idx="1">
                  <c:v>0.33</c:v>
                </c:pt>
                <c:pt idx="2">
                  <c:v>0.33</c:v>
                </c:pt>
                <c:pt idx="3">
                  <c:v>0.67</c:v>
                </c:pt>
                <c:pt idx="4">
                  <c:v>0.5</c:v>
                </c:pt>
                <c:pt idx="5">
                  <c:v>0.53</c:v>
                </c:pt>
                <c:pt idx="6">
                  <c:v>0.74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69C-4EFA-BC51-0E9F83E5294C}"/>
            </c:ext>
          </c:extLst>
        </c:ser>
        <c:ser>
          <c:idx val="1"/>
          <c:order val="1"/>
          <c:tx>
            <c:strRef>
              <c:f>Synthèse!$C$19</c:f>
              <c:strCache>
                <c:ptCount val="1"/>
                <c:pt idx="0">
                  <c:v>Evaluation 2</c:v>
                </c:pt>
              </c:strCache>
            </c:strRef>
          </c:tx>
          <c:spPr>
            <a:ln w="34925" cap="rnd">
              <a:solidFill>
                <a:schemeClr val="accent2"/>
              </a:solidFill>
              <a:round/>
            </a:ln>
            <a:effectLst>
              <a:outerShdw blurRad="40000" dist="23000" dir="5400000" rotWithShape="0">
                <a:srgbClr val="000000">
                  <a:alpha val="35000"/>
                </a:srgbClr>
              </a:outerShdw>
            </a:effectLst>
          </c:spPr>
          <c:marker>
            <c:symbol val="none"/>
          </c:marker>
          <c:dLbls>
            <c:delete val="1"/>
          </c:dLbls>
          <c:cat>
            <c:strRef>
              <c:f>Synthèse!$A$20:$A$26</c:f>
              <c:strCache>
                <c:ptCount val="7"/>
                <c:pt idx="0">
                  <c:v>Inattention</c:v>
                </c:pt>
                <c:pt idx="1">
                  <c:v>Hyper/Impulsivité</c:v>
                </c:pt>
                <c:pt idx="2">
                  <c:v>Devoirs</c:v>
                </c:pt>
                <c:pt idx="3">
                  <c:v>Impact</c:v>
                </c:pt>
                <c:pt idx="4">
                  <c:v>Activation</c:v>
                </c:pt>
                <c:pt idx="5">
                  <c:v>Organisation</c:v>
                </c:pt>
                <c:pt idx="6">
                  <c:v>Réactions de confrontation</c:v>
                </c:pt>
              </c:strCache>
            </c:strRef>
          </c:cat>
          <c:val>
            <c:numRef>
              <c:f>Synthèse!$C$20:$C$26</c:f>
              <c:numCache>
                <c:formatCode>0%</c:formatCode>
                <c:ptCount val="7"/>
                <c:pt idx="0">
                  <c:v>0.7</c:v>
                </c:pt>
                <c:pt idx="1">
                  <c:v>0.33</c:v>
                </c:pt>
                <c:pt idx="2">
                  <c:v>0.52</c:v>
                </c:pt>
                <c:pt idx="3">
                  <c:v>0.67</c:v>
                </c:pt>
                <c:pt idx="4">
                  <c:v>0.67</c:v>
                </c:pt>
                <c:pt idx="5">
                  <c:v>0.67</c:v>
                </c:pt>
                <c:pt idx="6">
                  <c:v>0.67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C-4ECD-4B2C-B692-370695ECCFD3}"/>
            </c:ext>
          </c:extLst>
        </c:ser>
        <c:dLbls>
          <c:showLegendKey val="1"/>
          <c:showVal val="0"/>
          <c:showCatName val="1"/>
          <c:showSerName val="1"/>
          <c:showPercent val="1"/>
          <c:showBubbleSize val="1"/>
        </c:dLbls>
        <c:axId val="10"/>
        <c:axId val="100"/>
      </c:radarChart>
      <c:catAx>
        <c:axId val="1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12700" cap="flat" cmpd="sng" algn="ctr">
            <a:solidFill>
              <a:schemeClr val="accent1">
                <a:lumMod val="60000"/>
                <a:lumOff val="40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100"/>
        <c:crosses val="autoZero"/>
        <c:auto val="1"/>
        <c:lblAlgn val="ctr"/>
        <c:lblOffset val="100"/>
        <c:noMultiLvlLbl val="1"/>
      </c:catAx>
      <c:valAx>
        <c:axId val="100"/>
        <c:scaling>
          <c:orientation val="minMax"/>
          <c:max val="1"/>
          <c:min val="0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5000"/>
                  <a:alpha val="10000"/>
                </a:schemeClr>
              </a:solidFill>
              <a:round/>
            </a:ln>
            <a:effectLst/>
          </c:spPr>
        </c:majorGridlines>
        <c:numFmt formatCode="0%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1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lt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legend>
    <c:plotVisOnly val="1"/>
    <c:dispBlanksAs val="gap"/>
    <c:showDLblsOverMax val="1"/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/>
      </a:pPr>
      <a:endParaRPr lang="fr-FR"/>
    </a:p>
  </c:tx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220980</xdr:colOff>
      <xdr:row>0</xdr:row>
      <xdr:rowOff>106680</xdr:rowOff>
    </xdr:from>
    <xdr:to>
      <xdr:col>1</xdr:col>
      <xdr:colOff>723900</xdr:colOff>
      <xdr:row>0</xdr:row>
      <xdr:rowOff>693420</xdr:rowOff>
    </xdr:to>
    <xdr:pic>
      <xdr:nvPicPr>
        <xdr:cNvPr id="2" name="Image 1" descr="Une image contenant texte&#10;&#10;Description générée automatiquement">
          <a:extLst>
            <a:ext uri="{FF2B5EF4-FFF2-40B4-BE49-F238E27FC236}">
              <a16:creationId xmlns:a16="http://schemas.microsoft.com/office/drawing/2014/main" id="{7C77C6D2-FCAF-402F-8326-A4C7485BCC80}"/>
            </a:ext>
          </a:extLst>
        </xdr:cNvPr>
        <xdr:cNvPicPr/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 bwMode="auto">
        <a:xfrm>
          <a:off x="220980" y="106680"/>
          <a:ext cx="1325880" cy="586740"/>
        </a:xfrm>
        <a:prstGeom prst="rect">
          <a:avLst/>
        </a:prstGeom>
        <a:noFill/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7</xdr:col>
      <xdr:colOff>350520</xdr:colOff>
      <xdr:row>6</xdr:row>
      <xdr:rowOff>152400</xdr:rowOff>
    </xdr:from>
    <xdr:ext cx="4259580" cy="2567940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one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6129AA5-5844-46AA-8D2C-0F5E7E1F8D1B}" name="Tableau2" displayName="Tableau2" ref="A4:D14" totalsRowShown="0" headerRowDxfId="29" headerRowCellStyle="Normal" dataCellStyle="Normal">
  <autoFilter ref="A4:D14" xr:uid="{06129AA5-5844-46AA-8D2C-0F5E7E1F8D1B}">
    <filterColumn colId="0" hiddenButton="1"/>
    <filterColumn colId="1" hiddenButton="1"/>
    <filterColumn colId="2" hiddenButton="1"/>
    <filterColumn colId="3" hiddenButton="1"/>
  </autoFilter>
  <tableColumns count="4">
    <tableColumn id="1" xr3:uid="{91E02F78-834C-4C82-B37D-16C7B23AFCF6}" name="Item" dataDxfId="28" dataCellStyle="Normal"/>
    <tableColumn id="2" xr3:uid="{6E48B748-A50B-4279-A9B3-81709FE65566}" name="Énoncé" dataCellStyle="Normal"/>
    <tableColumn id="3" xr3:uid="{239C8EA8-BECD-45F9-A30D-2E64565D1638}" name="Valeur (0–3)" dataDxfId="27" dataCellStyle="Normal"/>
    <tableColumn id="4" xr3:uid="{1A4E7252-232E-4D6B-8652-8BA78DF3EF6C}" name="Valeur (0-3)" dataDxfId="26" dataCellStyle="Normal"/>
  </tableColumns>
  <tableStyleInfo name="TableStyleMedium9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49B3CE18-1FA1-4278-A248-009583F884E4}" name="Tableau3" displayName="Tableau3" ref="A3:D11" totalsRowShown="0" headerRowDxfId="22" headerRowCellStyle="Normal" dataCellStyle="Normal">
  <autoFilter ref="A3:D11" xr:uid="{49B3CE18-1FA1-4278-A248-009583F884E4}">
    <filterColumn colId="0" hiddenButton="1"/>
    <filterColumn colId="1" hiddenButton="1"/>
    <filterColumn colId="2" hiddenButton="1"/>
    <filterColumn colId="3" hiddenButton="1"/>
  </autoFilter>
  <tableColumns count="4">
    <tableColumn id="1" xr3:uid="{6D9F65F1-E773-4582-A4B5-F8B53A8AB9AE}" name="Item" dataDxfId="21" dataCellStyle="Normal"/>
    <tableColumn id="2" xr3:uid="{BB917F3E-1A31-4130-92AB-B3E32C9ED365}" name="Énoncé" dataCellStyle="Normal"/>
    <tableColumn id="3" xr3:uid="{DFB95997-43C9-4ADB-963A-489AF013BC0E}" name="Valeur (0–3)" dataCellStyle="Normal"/>
    <tableColumn id="4" xr3:uid="{6A08EFDF-EF4A-4336-B8B3-74398EEB1B12}" name="Valeur (0-3)" dataCellStyle="Normal"/>
  </tableColumns>
  <tableStyleInfo name="TableStyleMedium9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C49427A2-50B9-470E-B123-7968742A2332}" name="Tableau4" displayName="Tableau4" ref="A3:D12" totalsRowShown="0" headerRowDxfId="17" headerRowCellStyle="Normal" dataCellStyle="Normal">
  <autoFilter ref="A3:D12" xr:uid="{C49427A2-50B9-470E-B123-7968742A2332}">
    <filterColumn colId="0" hiddenButton="1"/>
    <filterColumn colId="1" hiddenButton="1"/>
    <filterColumn colId="2" hiddenButton="1"/>
    <filterColumn colId="3" hiddenButton="1"/>
  </autoFilter>
  <tableColumns count="4">
    <tableColumn id="1" xr3:uid="{3D0ECACE-BE79-428A-B844-57ED36B6DA47}" name="Item" dataDxfId="16" dataCellStyle="Normal"/>
    <tableColumn id="2" xr3:uid="{D0389CAA-C639-47DF-9348-E346C426A1DA}" name="Énoncé" dataCellStyle="Normal"/>
    <tableColumn id="3" xr3:uid="{F0686AFC-4DC8-4087-9192-EA0585488B4E}" name="Valeur (0–3)" dataDxfId="15" dataCellStyle="Normal"/>
    <tableColumn id="4" xr3:uid="{145272F4-0BC3-4080-B298-32B27D832BB5}" name="Valeur (0-3)" dataDxfId="14" dataCellStyle="Normal"/>
  </tableColumns>
  <tableStyleInfo name="TableStyleMedium9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FF7FFF8-D496-4009-92F1-2A47C88A2105}" name="Tableau1" displayName="Tableau1" ref="A3:D13" totalsRowShown="0">
  <autoFilter ref="A3:D13" xr:uid="{0FF7FFF8-D496-4009-92F1-2A47C88A2105}">
    <filterColumn colId="0" hiddenButton="1"/>
    <filterColumn colId="1" hiddenButton="1"/>
    <filterColumn colId="2" hiddenButton="1"/>
    <filterColumn colId="3" hiddenButton="1"/>
  </autoFilter>
  <tableColumns count="4">
    <tableColumn id="1" xr3:uid="{2A8FF23E-00A6-403F-AD8B-C308A908D711}" name="Item" dataDxfId="10"/>
    <tableColumn id="2" xr3:uid="{5B0E8026-AD2C-46BA-8C16-C2E4DA22E438}" name="Énoncé"/>
    <tableColumn id="3" xr3:uid="{1CE49FC7-F09B-4DCD-995B-C7A3A2A33895}" name="Valeur (0–3)" dataDxfId="9"/>
    <tableColumn id="4" xr3:uid="{DDEFF674-FC77-49F3-A258-E60984BD1941}" name="Valeur (0-3)" dataDxfId="8"/>
  </tableColumns>
  <tableStyleInfo name="TableStyleMedium9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7812BC5E-32F4-4BDD-8581-C545F950D225}" name="Tableau5" displayName="Tableau5" ref="A3:D6" totalsRowShown="0" headerRowDxfId="4">
  <autoFilter ref="A3:D6" xr:uid="{7812BC5E-32F4-4BDD-8581-C545F950D225}">
    <filterColumn colId="0" hiddenButton="1"/>
    <filterColumn colId="1" hiddenButton="1"/>
    <filterColumn colId="2" hiddenButton="1"/>
    <filterColumn colId="3" hiddenButton="1"/>
  </autoFilter>
  <tableColumns count="4">
    <tableColumn id="1" xr3:uid="{9AA4A133-0DA7-4379-9DD2-BA34337990C6}" name="Item" dataDxfId="3"/>
    <tableColumn id="2" xr3:uid="{2B5AF022-F79F-411D-A99F-592834899D28}" name="Énoncé"/>
    <tableColumn id="3" xr3:uid="{BDD79601-3E7D-4929-B201-1F928FEEE1B3}" name="Valeur (0–3)" dataDxfId="2"/>
    <tableColumn id="4" xr3:uid="{1ACD36AE-F219-4EC1-895B-B63F01AA046E}" name="Valeur (0-3)" dataDxfId="1"/>
  </tableColumns>
  <tableStyleInfo name="TableStyleMedium9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6137D95C-3264-4FC2-B38E-F2FAA1049170}" name="Tableau6" displayName="Tableau6" ref="A4:D36" totalsRowShown="0" headerRowDxfId="0">
  <autoFilter ref="A4:D36" xr:uid="{6137D95C-3264-4FC2-B38E-F2FAA1049170}">
    <filterColumn colId="0" hiddenButton="1"/>
    <filterColumn colId="1" hiddenButton="1"/>
    <filterColumn colId="2" hiddenButton="1"/>
    <filterColumn colId="3" hiddenButton="1"/>
  </autoFilter>
  <tableColumns count="4">
    <tableColumn id="1" xr3:uid="{58A7F63F-98F1-46CE-AF43-7C201F6BB06F}" name="Domaine"/>
    <tableColumn id="2" xr3:uid="{11D5EB50-A7AE-4446-90F2-8BEFCF9673C5}" name="Capacité / ressource observée"/>
    <tableColumn id="3" xr3:uid="{9517304A-CECA-4B80-AC86-2A3F0E510EC6}" name="Présence (0–3)"/>
    <tableColumn id="4" xr3:uid="{FF014CC5-729F-4341-BF7F-E6E84B839553}" name="Commentaires / exemples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.x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table" Target="../tables/table3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table" Target="../tables/table5.xml"/><Relationship Id="rId1" Type="http://schemas.openxmlformats.org/officeDocument/2006/relationships/printerSettings" Target="../printerSettings/printerSettings4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5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table" Target="../tables/table6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theme="3" tint="0.39997558519241921"/>
    <pageSetUpPr fitToPage="1"/>
  </sheetPr>
  <dimension ref="A1:D16"/>
  <sheetViews>
    <sheetView workbookViewId="0">
      <pane ySplit="4" topLeftCell="A5" activePane="bottomLeft" state="frozen"/>
      <selection pane="bottomLeft" activeCell="D16" sqref="D16"/>
    </sheetView>
  </sheetViews>
  <sheetFormatPr defaultColWidth="8.85546875" defaultRowHeight="14.45"/>
  <cols>
    <col min="1" max="1" width="12" customWidth="1"/>
    <col min="2" max="2" width="100" customWidth="1"/>
    <col min="3" max="3" width="14" customWidth="1"/>
    <col min="4" max="4" width="14.140625" customWidth="1"/>
  </cols>
  <sheetData>
    <row r="1" spans="1:4" ht="62.45" customHeight="1"/>
    <row r="2" spans="1:4">
      <c r="A2" s="66" t="s">
        <v>0</v>
      </c>
      <c r="B2" s="66"/>
      <c r="C2" s="66"/>
      <c r="D2" s="66"/>
    </row>
    <row r="3" spans="1:4">
      <c r="B3" t="s">
        <v>1</v>
      </c>
      <c r="C3" s="27" t="s">
        <v>2</v>
      </c>
      <c r="D3" s="27" t="s">
        <v>3</v>
      </c>
    </row>
    <row r="4" spans="1:4">
      <c r="A4" s="53" t="s">
        <v>4</v>
      </c>
      <c r="B4" s="53" t="s">
        <v>5</v>
      </c>
      <c r="C4" s="53" t="s">
        <v>6</v>
      </c>
      <c r="D4" s="53" t="s">
        <v>7</v>
      </c>
    </row>
    <row r="5" spans="1:4">
      <c r="A5" s="53" t="s">
        <v>8</v>
      </c>
      <c r="B5" t="s">
        <v>9</v>
      </c>
      <c r="C5" s="53">
        <v>2</v>
      </c>
      <c r="D5" s="53">
        <v>2</v>
      </c>
    </row>
    <row r="6" spans="1:4">
      <c r="A6" s="53" t="s">
        <v>10</v>
      </c>
      <c r="B6" t="s">
        <v>11</v>
      </c>
      <c r="C6" s="53">
        <v>2</v>
      </c>
      <c r="D6" s="53">
        <v>2</v>
      </c>
    </row>
    <row r="7" spans="1:4">
      <c r="A7" s="53" t="s">
        <v>12</v>
      </c>
      <c r="B7" t="s">
        <v>13</v>
      </c>
      <c r="C7" s="53">
        <v>2</v>
      </c>
      <c r="D7" s="53">
        <v>2</v>
      </c>
    </row>
    <row r="8" spans="1:4">
      <c r="A8" s="53" t="s">
        <v>14</v>
      </c>
      <c r="B8" t="s">
        <v>15</v>
      </c>
      <c r="C8" s="53">
        <v>2</v>
      </c>
      <c r="D8" s="53">
        <v>2</v>
      </c>
    </row>
    <row r="9" spans="1:4">
      <c r="A9" s="53" t="s">
        <v>16</v>
      </c>
      <c r="B9" t="s">
        <v>17</v>
      </c>
      <c r="C9" s="53">
        <v>2</v>
      </c>
      <c r="D9" s="53">
        <v>2</v>
      </c>
    </row>
    <row r="10" spans="1:4">
      <c r="A10" s="53" t="s">
        <v>18</v>
      </c>
      <c r="B10" t="s">
        <v>19</v>
      </c>
      <c r="C10" s="53">
        <v>2</v>
      </c>
      <c r="D10" s="53">
        <v>3</v>
      </c>
    </row>
    <row r="11" spans="1:4">
      <c r="A11" s="53" t="s">
        <v>20</v>
      </c>
      <c r="B11" t="s">
        <v>21</v>
      </c>
      <c r="C11" s="53">
        <v>2</v>
      </c>
      <c r="D11" s="53">
        <v>1</v>
      </c>
    </row>
    <row r="12" spans="1:4">
      <c r="A12" s="53" t="s">
        <v>22</v>
      </c>
      <c r="B12" t="s">
        <v>23</v>
      </c>
      <c r="C12" s="53">
        <v>2</v>
      </c>
      <c r="D12" s="53">
        <v>2</v>
      </c>
    </row>
    <row r="13" spans="1:4">
      <c r="A13" s="53" t="s">
        <v>24</v>
      </c>
      <c r="B13" t="s">
        <v>25</v>
      </c>
      <c r="C13" s="53">
        <v>2</v>
      </c>
      <c r="D13" s="53">
        <v>3</v>
      </c>
    </row>
    <row r="14" spans="1:4">
      <c r="A14" s="53" t="s">
        <v>26</v>
      </c>
      <c r="B14" t="s">
        <v>27</v>
      </c>
      <c r="C14" s="53">
        <v>2</v>
      </c>
      <c r="D14" s="53">
        <v>2</v>
      </c>
    </row>
    <row r="16" spans="1:4">
      <c r="B16" s="3" t="s">
        <v>28</v>
      </c>
      <c r="C16" s="4">
        <f>SUM(C5:C14)</f>
        <v>20</v>
      </c>
      <c r="D16" s="4">
        <f>SUM(D5:D14)</f>
        <v>21</v>
      </c>
    </row>
  </sheetData>
  <sheetProtection algorithmName="SHA-512" hashValue="ETUwuI+307+BTnIv3GivDKkqZp63VBhshQx5YZdTC+m6fVbQe14v20/OU0jAYGP2OvkNVH+o4WtGG3I/4G5wEg==" saltValue="XORT7VB9dKOJpV8srWbdCg==" spinCount="100000" sheet="1" objects="1" scenarios="1"/>
  <mergeCells count="1">
    <mergeCell ref="A2:D2"/>
  </mergeCells>
  <conditionalFormatting sqref="C5:D14">
    <cfRule type="cellIs" dxfId="32" priority="1" operator="equal">
      <formula>1</formula>
    </cfRule>
    <cfRule type="cellIs" dxfId="31" priority="2" operator="equal">
      <formula>2</formula>
    </cfRule>
    <cfRule type="cellIs" dxfId="30" priority="3" operator="equal">
      <formula>3</formula>
    </cfRule>
  </conditionalFormatting>
  <dataValidations count="1">
    <dataValidation type="whole" allowBlank="1" errorTitle="Valeur invalide" error="Veuillez entrer une valeur entière entre 0 et 3." promptTitle="Valeur (0-3)" prompt="Entrez 0, 1, 2 ou 3." sqref="C5:D14" xr:uid="{00000000-0002-0000-0100-000000000000}">
      <formula1>0</formula1>
      <formula2>3</formula2>
    </dataValidation>
  </dataValidations>
  <pageMargins left="0.75" right="0.75" top="1" bottom="1" header="0.5" footer="0.5"/>
  <pageSetup paperSize="9" scale="93" orientation="landscape" verticalDpi="0" r:id="rId1"/>
  <drawing r:id="rId2"/>
  <tableParts count="1">
    <tablePart r:id="rId3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theme="5" tint="-0.249977111117893"/>
    <pageSetUpPr fitToPage="1"/>
  </sheetPr>
  <dimension ref="A1:D13"/>
  <sheetViews>
    <sheetView workbookViewId="0">
      <pane ySplit="3" topLeftCell="A4" activePane="bottomLeft" state="frozen"/>
      <selection pane="bottomLeft" activeCell="C13" sqref="C13:D13"/>
    </sheetView>
  </sheetViews>
  <sheetFormatPr defaultColWidth="8.85546875" defaultRowHeight="14.45"/>
  <cols>
    <col min="1" max="1" width="12" customWidth="1"/>
    <col min="2" max="2" width="100" customWidth="1"/>
    <col min="3" max="3" width="14" customWidth="1"/>
    <col min="4" max="4" width="14.140625" customWidth="1"/>
  </cols>
  <sheetData>
    <row r="1" spans="1:4">
      <c r="A1" s="66" t="s">
        <v>29</v>
      </c>
      <c r="B1" s="66"/>
      <c r="C1" s="66"/>
      <c r="D1" s="66"/>
    </row>
    <row r="2" spans="1:4">
      <c r="B2" t="s">
        <v>1</v>
      </c>
      <c r="C2" s="27" t="s">
        <v>2</v>
      </c>
      <c r="D2" s="27" t="s">
        <v>3</v>
      </c>
    </row>
    <row r="3" spans="1:4">
      <c r="A3" s="53" t="s">
        <v>4</v>
      </c>
      <c r="B3" s="53" t="s">
        <v>5</v>
      </c>
      <c r="C3" s="53" t="s">
        <v>6</v>
      </c>
      <c r="D3" s="53" t="s">
        <v>7</v>
      </c>
    </row>
    <row r="4" spans="1:4">
      <c r="A4" s="53" t="s">
        <v>30</v>
      </c>
      <c r="B4" t="s">
        <v>31</v>
      </c>
      <c r="C4">
        <v>1</v>
      </c>
      <c r="D4">
        <v>1</v>
      </c>
    </row>
    <row r="5" spans="1:4">
      <c r="A5" s="53" t="s">
        <v>32</v>
      </c>
      <c r="B5" t="s">
        <v>33</v>
      </c>
      <c r="C5">
        <v>1</v>
      </c>
      <c r="D5">
        <v>1</v>
      </c>
    </row>
    <row r="6" spans="1:4">
      <c r="A6" s="53" t="s">
        <v>34</v>
      </c>
      <c r="B6" t="s">
        <v>35</v>
      </c>
      <c r="C6">
        <v>1</v>
      </c>
      <c r="D6">
        <v>1</v>
      </c>
    </row>
    <row r="7" spans="1:4">
      <c r="A7" s="53" t="s">
        <v>36</v>
      </c>
      <c r="B7" t="s">
        <v>37</v>
      </c>
      <c r="C7">
        <v>1</v>
      </c>
      <c r="D7">
        <v>1</v>
      </c>
    </row>
    <row r="8" spans="1:4">
      <c r="A8" s="53" t="s">
        <v>38</v>
      </c>
      <c r="B8" t="s">
        <v>39</v>
      </c>
      <c r="C8">
        <v>1</v>
      </c>
      <c r="D8">
        <v>1</v>
      </c>
    </row>
    <row r="9" spans="1:4">
      <c r="A9" s="53" t="s">
        <v>40</v>
      </c>
      <c r="B9" t="s">
        <v>41</v>
      </c>
      <c r="C9">
        <v>1</v>
      </c>
      <c r="D9">
        <v>1</v>
      </c>
    </row>
    <row r="10" spans="1:4">
      <c r="A10" s="53" t="s">
        <v>42</v>
      </c>
      <c r="B10" t="s">
        <v>43</v>
      </c>
      <c r="C10">
        <v>1</v>
      </c>
      <c r="D10">
        <v>1</v>
      </c>
    </row>
    <row r="11" spans="1:4">
      <c r="A11" s="53" t="s">
        <v>44</v>
      </c>
      <c r="B11" t="s">
        <v>45</v>
      </c>
      <c r="C11">
        <v>1</v>
      </c>
      <c r="D11">
        <v>1</v>
      </c>
    </row>
    <row r="13" spans="1:4">
      <c r="B13" s="3" t="s">
        <v>28</v>
      </c>
      <c r="C13" s="4">
        <f>SUM(C4:C11)</f>
        <v>8</v>
      </c>
      <c r="D13" s="4">
        <f>SUM(D4:D11)</f>
        <v>8</v>
      </c>
    </row>
  </sheetData>
  <sheetProtection algorithmName="SHA-512" hashValue="f8ssl7XzM6NJhiRsgYt8bJib4j1dbrwcrubEINoXDVqSRWManBewxFMAKf7Ez1s+Pl7EFfmFvtxYWtQF2p25eA==" saltValue="m0Oyr6C6lO5SVKe7LFm7DQ==" spinCount="100000" sheet="1" objects="1" scenarios="1"/>
  <mergeCells count="1">
    <mergeCell ref="A1:D1"/>
  </mergeCells>
  <conditionalFormatting sqref="C4:D11">
    <cfRule type="cellIs" dxfId="25" priority="1" operator="equal">
      <formula>1</formula>
    </cfRule>
    <cfRule type="cellIs" dxfId="24" priority="2" operator="equal">
      <formula>2</formula>
    </cfRule>
    <cfRule type="cellIs" dxfId="23" priority="3" operator="equal">
      <formula>3</formula>
    </cfRule>
  </conditionalFormatting>
  <dataValidations count="1">
    <dataValidation type="whole" allowBlank="1" errorTitle="Valeur invalide" error="Veuillez entrer une valeur entière entre 0 et 3." promptTitle="Valeur (0-3)" prompt="Entrez 0, 1, 2 ou 3." sqref="C4:D13" xr:uid="{00000000-0002-0000-0200-000000000000}">
      <formula1>0</formula1>
      <formula2>3</formula2>
    </dataValidation>
  </dataValidations>
  <pageMargins left="0.75" right="0.75" top="1" bottom="1" header="0.5" footer="0.5"/>
  <pageSetup paperSize="9" scale="93" orientation="landscape" verticalDpi="0" r:id="rId1"/>
  <tableParts count="1">
    <tablePart r:id="rId2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theme="6" tint="-0.249977111117893"/>
    <pageSetUpPr fitToPage="1"/>
  </sheetPr>
  <dimension ref="A1:D14"/>
  <sheetViews>
    <sheetView workbookViewId="0">
      <pane ySplit="3" topLeftCell="A4" activePane="bottomLeft" state="frozen"/>
      <selection pane="bottomLeft" activeCell="C14" sqref="C14:D14"/>
    </sheetView>
  </sheetViews>
  <sheetFormatPr defaultColWidth="8.85546875" defaultRowHeight="14.45"/>
  <cols>
    <col min="1" max="1" width="12" customWidth="1"/>
    <col min="2" max="2" width="100" customWidth="1"/>
    <col min="3" max="3" width="14" customWidth="1"/>
    <col min="4" max="4" width="14.140625" customWidth="1"/>
  </cols>
  <sheetData>
    <row r="1" spans="1:4">
      <c r="A1" s="66" t="s">
        <v>46</v>
      </c>
      <c r="B1" s="66"/>
      <c r="C1" s="66"/>
      <c r="D1" s="66"/>
    </row>
    <row r="2" spans="1:4">
      <c r="B2" t="s">
        <v>1</v>
      </c>
      <c r="C2" s="27" t="s">
        <v>2</v>
      </c>
      <c r="D2" s="27" t="s">
        <v>3</v>
      </c>
    </row>
    <row r="3" spans="1:4">
      <c r="A3" s="53" t="s">
        <v>4</v>
      </c>
      <c r="B3" s="53" t="s">
        <v>5</v>
      </c>
      <c r="C3" s="53" t="s">
        <v>6</v>
      </c>
      <c r="D3" s="53" t="s">
        <v>7</v>
      </c>
    </row>
    <row r="4" spans="1:4">
      <c r="A4" s="53" t="s">
        <v>47</v>
      </c>
      <c r="B4" t="s">
        <v>48</v>
      </c>
      <c r="C4" s="53">
        <v>1</v>
      </c>
      <c r="D4" s="53">
        <v>1</v>
      </c>
    </row>
    <row r="5" spans="1:4">
      <c r="A5" s="53" t="s">
        <v>49</v>
      </c>
      <c r="B5" t="s">
        <v>50</v>
      </c>
      <c r="C5" s="53">
        <v>1</v>
      </c>
      <c r="D5" s="53">
        <v>2</v>
      </c>
    </row>
    <row r="6" spans="1:4">
      <c r="A6" s="53" t="s">
        <v>51</v>
      </c>
      <c r="B6" t="s">
        <v>52</v>
      </c>
      <c r="C6" s="53">
        <v>1</v>
      </c>
      <c r="D6" s="53">
        <v>2</v>
      </c>
    </row>
    <row r="7" spans="1:4">
      <c r="A7" s="53" t="s">
        <v>53</v>
      </c>
      <c r="B7" t="s">
        <v>54</v>
      </c>
      <c r="C7" s="53">
        <v>1</v>
      </c>
      <c r="D7" s="53">
        <v>1</v>
      </c>
    </row>
    <row r="8" spans="1:4">
      <c r="A8" s="53" t="s">
        <v>55</v>
      </c>
      <c r="B8" t="s">
        <v>56</v>
      </c>
      <c r="C8" s="53">
        <v>1</v>
      </c>
      <c r="D8" s="53">
        <v>3</v>
      </c>
    </row>
    <row r="9" spans="1:4">
      <c r="A9" s="53" t="s">
        <v>57</v>
      </c>
      <c r="B9" t="s">
        <v>58</v>
      </c>
      <c r="C9" s="53">
        <v>1</v>
      </c>
      <c r="D9" s="53">
        <v>1</v>
      </c>
    </row>
    <row r="10" spans="1:4">
      <c r="A10" s="53" t="s">
        <v>59</v>
      </c>
      <c r="B10" t="s">
        <v>60</v>
      </c>
      <c r="C10" s="53">
        <v>1</v>
      </c>
      <c r="D10" s="53">
        <v>1</v>
      </c>
    </row>
    <row r="11" spans="1:4">
      <c r="A11" s="53" t="s">
        <v>61</v>
      </c>
      <c r="B11" t="s">
        <v>62</v>
      </c>
      <c r="C11" s="53">
        <v>1</v>
      </c>
      <c r="D11" s="53">
        <v>2</v>
      </c>
    </row>
    <row r="12" spans="1:4">
      <c r="A12" s="53" t="s">
        <v>63</v>
      </c>
      <c r="B12" t="s">
        <v>64</v>
      </c>
      <c r="C12" s="53">
        <v>1</v>
      </c>
      <c r="D12" s="53">
        <v>1</v>
      </c>
    </row>
    <row r="14" spans="1:4">
      <c r="B14" s="3" t="s">
        <v>28</v>
      </c>
      <c r="C14" s="4">
        <f>SUM(C4:C12)</f>
        <v>9</v>
      </c>
      <c r="D14" s="4">
        <f>SUM(D4:D12)</f>
        <v>14</v>
      </c>
    </row>
  </sheetData>
  <sheetProtection algorithmName="SHA-512" hashValue="Ru/9xftYewJOcpQXz8Du+Y/6+5zMYnROrwh/zyAFDgC9G//TGpbK9rRT/+IjF+o61n5dTnFPC3pxXFJxZf3Gug==" saltValue="esJJb3DrGmH+tQmqBl4MHw==" spinCount="100000" sheet="1" objects="1" scenarios="1"/>
  <mergeCells count="1">
    <mergeCell ref="A1:D1"/>
  </mergeCells>
  <conditionalFormatting sqref="C4:D12">
    <cfRule type="cellIs" dxfId="20" priority="1" operator="equal">
      <formula>1</formula>
    </cfRule>
    <cfRule type="cellIs" dxfId="19" priority="2" operator="equal">
      <formula>2</formula>
    </cfRule>
    <cfRule type="cellIs" dxfId="18" priority="3" operator="equal">
      <formula>3</formula>
    </cfRule>
  </conditionalFormatting>
  <dataValidations count="1">
    <dataValidation type="whole" allowBlank="1" errorTitle="Valeur invalide" error="Veuillez entrer une valeur entière entre 0 et 3." promptTitle="Valeur (0-3)" prompt="Entrez 0, 1, 2 ou 3." sqref="C4:D13" xr:uid="{00000000-0002-0000-0300-000000000000}">
      <formula1>0</formula1>
      <formula2>3</formula2>
    </dataValidation>
  </dataValidations>
  <pageMargins left="0.75" right="0.75" top="1" bottom="1" header="0.5" footer="0.5"/>
  <pageSetup paperSize="9" scale="92" orientation="landscape" verticalDpi="0" r:id="rId1"/>
  <tableParts count="1">
    <tablePart r:id="rId2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D1FFAA-CB3E-47C5-87D1-A5E182758EE4}">
  <sheetPr>
    <tabColor theme="3" tint="0.39997558519241921"/>
  </sheetPr>
  <dimension ref="A1:D15"/>
  <sheetViews>
    <sheetView workbookViewId="0">
      <pane ySplit="1" topLeftCell="A2" activePane="bottomLeft" state="frozen"/>
      <selection pane="bottomLeft" activeCell="C15" sqref="C15:D15"/>
    </sheetView>
  </sheetViews>
  <sheetFormatPr defaultColWidth="8.85546875" defaultRowHeight="14.45"/>
  <cols>
    <col min="1" max="1" width="14" customWidth="1"/>
    <col min="2" max="2" width="95" customWidth="1"/>
    <col min="3" max="4" width="14" customWidth="1"/>
  </cols>
  <sheetData>
    <row r="1" spans="1:4" ht="18">
      <c r="A1" s="55" t="s">
        <v>65</v>
      </c>
    </row>
    <row r="2" spans="1:4">
      <c r="A2" s="54"/>
      <c r="B2" t="s">
        <v>1</v>
      </c>
      <c r="C2" s="27" t="s">
        <v>2</v>
      </c>
      <c r="D2" s="27" t="s">
        <v>3</v>
      </c>
    </row>
    <row r="3" spans="1:4">
      <c r="A3" s="56" t="s">
        <v>4</v>
      </c>
      <c r="B3" s="53" t="s">
        <v>5</v>
      </c>
      <c r="C3" s="56" t="s">
        <v>6</v>
      </c>
      <c r="D3" s="56" t="s">
        <v>7</v>
      </c>
    </row>
    <row r="4" spans="1:4">
      <c r="A4" s="56" t="s">
        <v>66</v>
      </c>
      <c r="B4" t="s">
        <v>67</v>
      </c>
      <c r="C4" s="53">
        <v>2</v>
      </c>
      <c r="D4" s="53">
        <v>2</v>
      </c>
    </row>
    <row r="5" spans="1:4">
      <c r="A5" s="56" t="s">
        <v>68</v>
      </c>
      <c r="B5" t="s">
        <v>69</v>
      </c>
      <c r="C5" s="53">
        <v>2</v>
      </c>
      <c r="D5" s="53">
        <v>1</v>
      </c>
    </row>
    <row r="6" spans="1:4">
      <c r="A6" s="56" t="s">
        <v>70</v>
      </c>
      <c r="B6" t="s">
        <v>71</v>
      </c>
      <c r="C6" s="53">
        <v>2</v>
      </c>
      <c r="D6" s="53">
        <v>3</v>
      </c>
    </row>
    <row r="7" spans="1:4">
      <c r="A7" s="56" t="s">
        <v>72</v>
      </c>
      <c r="B7" t="s">
        <v>73</v>
      </c>
      <c r="C7" s="53">
        <v>2</v>
      </c>
      <c r="D7" s="53">
        <v>2</v>
      </c>
    </row>
    <row r="8" spans="1:4">
      <c r="A8" s="56" t="s">
        <v>74</v>
      </c>
      <c r="B8" t="s">
        <v>75</v>
      </c>
      <c r="C8" s="53">
        <v>2</v>
      </c>
      <c r="D8" s="53">
        <v>1</v>
      </c>
    </row>
    <row r="9" spans="1:4">
      <c r="A9" s="56" t="s">
        <v>76</v>
      </c>
      <c r="B9" t="s">
        <v>77</v>
      </c>
      <c r="C9" s="53">
        <v>2</v>
      </c>
      <c r="D9" s="53">
        <v>2</v>
      </c>
    </row>
    <row r="10" spans="1:4">
      <c r="A10" s="56" t="s">
        <v>78</v>
      </c>
      <c r="B10" t="s">
        <v>79</v>
      </c>
      <c r="C10" s="53">
        <v>2</v>
      </c>
      <c r="D10" s="53">
        <v>1</v>
      </c>
    </row>
    <row r="11" spans="1:4">
      <c r="A11" s="56" t="s">
        <v>80</v>
      </c>
      <c r="B11" t="s">
        <v>81</v>
      </c>
      <c r="C11" s="53">
        <v>2</v>
      </c>
      <c r="D11" s="53">
        <v>2</v>
      </c>
    </row>
    <row r="12" spans="1:4">
      <c r="A12" s="56" t="s">
        <v>82</v>
      </c>
      <c r="B12" t="s">
        <v>83</v>
      </c>
      <c r="C12" s="53">
        <v>2</v>
      </c>
      <c r="D12" s="53">
        <v>2</v>
      </c>
    </row>
    <row r="13" spans="1:4">
      <c r="A13" s="56" t="s">
        <v>84</v>
      </c>
      <c r="B13" t="s">
        <v>85</v>
      </c>
      <c r="C13" s="53">
        <v>2</v>
      </c>
      <c r="D13" s="53">
        <v>2</v>
      </c>
    </row>
    <row r="15" spans="1:4">
      <c r="B15" s="3" t="s">
        <v>86</v>
      </c>
      <c r="C15" s="57">
        <f>SUM(C4:C13)</f>
        <v>20</v>
      </c>
      <c r="D15" s="57">
        <f>SUM(D4:D13)</f>
        <v>18</v>
      </c>
    </row>
  </sheetData>
  <sheetProtection algorithmName="SHA-512" hashValue="XzX1cDc6ypgC3DtVtVGk+2FmXgCNSmR4n50XTRvASh8EQrO/LoNXxlzV2WtUdBHj4XMCcvxCMvzu2zb4x6rHIw==" saltValue="eVYWc66mU/HRZng78lZNqg==" spinCount="100000" sheet="1" objects="1" scenarios="1"/>
  <conditionalFormatting sqref="C4:D13">
    <cfRule type="cellIs" dxfId="13" priority="1" operator="equal">
      <formula>1</formula>
    </cfRule>
    <cfRule type="cellIs" dxfId="12" priority="2" operator="equal">
      <formula>2</formula>
    </cfRule>
    <cfRule type="cellIs" dxfId="11" priority="3" operator="equal">
      <formula>3</formula>
    </cfRule>
  </conditionalFormatting>
  <dataValidations count="1">
    <dataValidation type="whole" allowBlank="1" promptTitle="Valeur (0–3)" prompt="0 = Jamais | 1 = Parfois | 2 = Souvent | 3 = Très souvent" sqref="C4:D13" xr:uid="{00000000-0002-0000-0000-000000000000}">
      <formula1>0</formula1>
      <formula2>3</formula2>
    </dataValidation>
  </dataValidations>
  <pageMargins left="0.75" right="0.75" top="1" bottom="1" header="0.5" footer="0.5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tabColor theme="7" tint="-0.249977111117893"/>
    <pageSetUpPr fitToPage="1"/>
  </sheetPr>
  <dimension ref="A1:D8"/>
  <sheetViews>
    <sheetView workbookViewId="0">
      <pane ySplit="3" topLeftCell="A4" activePane="bottomLeft" state="frozen"/>
      <selection pane="bottomLeft" activeCell="C8" sqref="C8:D8"/>
    </sheetView>
  </sheetViews>
  <sheetFormatPr defaultColWidth="8.85546875" defaultRowHeight="14.45"/>
  <cols>
    <col min="1" max="1" width="12" customWidth="1"/>
    <col min="2" max="2" width="100" customWidth="1"/>
    <col min="3" max="3" width="14" customWidth="1"/>
    <col min="4" max="4" width="13.7109375" customWidth="1"/>
  </cols>
  <sheetData>
    <row r="1" spans="1:4">
      <c r="A1" s="66" t="s">
        <v>87</v>
      </c>
      <c r="B1" s="66"/>
      <c r="C1" s="66"/>
      <c r="D1" s="66"/>
    </row>
    <row r="2" spans="1:4">
      <c r="B2" t="s">
        <v>1</v>
      </c>
      <c r="C2" s="27" t="s">
        <v>2</v>
      </c>
      <c r="D2" s="27" t="s">
        <v>3</v>
      </c>
    </row>
    <row r="3" spans="1:4">
      <c r="A3" s="53" t="s">
        <v>4</v>
      </c>
      <c r="B3" s="53" t="s">
        <v>5</v>
      </c>
      <c r="C3" s="53" t="s">
        <v>6</v>
      </c>
      <c r="D3" s="53" t="s">
        <v>7</v>
      </c>
    </row>
    <row r="4" spans="1:4">
      <c r="A4" s="53" t="s">
        <v>88</v>
      </c>
      <c r="B4" t="s">
        <v>89</v>
      </c>
      <c r="C4" s="53">
        <v>2</v>
      </c>
      <c r="D4" s="53">
        <v>2</v>
      </c>
    </row>
    <row r="5" spans="1:4">
      <c r="A5" s="53" t="s">
        <v>90</v>
      </c>
      <c r="B5" t="s">
        <v>91</v>
      </c>
      <c r="C5" s="53">
        <v>2</v>
      </c>
      <c r="D5" s="53">
        <v>1</v>
      </c>
    </row>
    <row r="6" spans="1:4">
      <c r="A6" s="53" t="s">
        <v>92</v>
      </c>
      <c r="B6" t="s">
        <v>93</v>
      </c>
      <c r="C6" s="53">
        <v>2</v>
      </c>
      <c r="D6" s="53">
        <v>3</v>
      </c>
    </row>
    <row r="8" spans="1:4">
      <c r="B8" s="3" t="s">
        <v>28</v>
      </c>
      <c r="C8" s="4">
        <f>SUM(C4:C6)</f>
        <v>6</v>
      </c>
      <c r="D8" s="4">
        <f>SUM(D4:D6)</f>
        <v>6</v>
      </c>
    </row>
  </sheetData>
  <sheetProtection algorithmName="SHA-512" hashValue="RWXfm7LerL5CNryVk2ndjO+rGRLSARbmmXgZjI18zPWPhAqtvCWHkeDhRzbF8F/J0PHy35Il6mhFo2FnL9G9aw==" saltValue="OyfMar7lg64xhppLBWhDFA==" spinCount="100000" sheet="1" objects="1" scenarios="1"/>
  <mergeCells count="1">
    <mergeCell ref="A1:D1"/>
  </mergeCells>
  <conditionalFormatting sqref="C4:D6">
    <cfRule type="cellIs" dxfId="7" priority="1" operator="equal">
      <formula>1</formula>
    </cfRule>
    <cfRule type="cellIs" dxfId="6" priority="2" operator="equal">
      <formula>2</formula>
    </cfRule>
    <cfRule type="cellIs" dxfId="5" priority="3" operator="equal">
      <formula>3</formula>
    </cfRule>
  </conditionalFormatting>
  <dataValidations count="1">
    <dataValidation type="whole" allowBlank="1" errorTitle="Valeur invalide" error="Veuillez entrer une valeur entière entre 0 et 3." promptTitle="Valeur (0-3)" prompt="Entrez 0, 1, 2 ou 3." sqref="C4:C13 D4:D8" xr:uid="{00000000-0002-0000-0400-000000000000}">
      <formula1>0</formula1>
      <formula2>3</formula2>
    </dataValidation>
  </dataValidations>
  <pageMargins left="0.75" right="0.75" top="1" bottom="1" header="0.5" footer="0.5"/>
  <pageSetup paperSize="9" scale="93" orientation="landscape" verticalDpi="0" r:id="rId1"/>
  <tableParts count="1">
    <tablePart r:id="rId2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theme="9" tint="-0.249977111117893"/>
    <pageSetUpPr fitToPage="1"/>
  </sheetPr>
  <dimension ref="A1:L26"/>
  <sheetViews>
    <sheetView workbookViewId="0">
      <pane ySplit="4" topLeftCell="A5" activePane="bottomLeft" state="frozen"/>
      <selection pane="bottomLeft" activeCell="G17" sqref="G17"/>
    </sheetView>
  </sheetViews>
  <sheetFormatPr defaultColWidth="8.85546875" defaultRowHeight="14.45"/>
  <cols>
    <col min="1" max="1" width="23.7109375" customWidth="1"/>
    <col min="2" max="2" width="12.28515625" customWidth="1"/>
    <col min="3" max="3" width="11.85546875" customWidth="1"/>
    <col min="4" max="5" width="12.28515625" customWidth="1"/>
    <col min="7" max="7" width="11.85546875" customWidth="1"/>
  </cols>
  <sheetData>
    <row r="1" spans="1:12" ht="18">
      <c r="A1" s="73" t="s">
        <v>94</v>
      </c>
      <c r="B1" s="73"/>
    </row>
    <row r="3" spans="1:12">
      <c r="A3" s="18" t="s">
        <v>95</v>
      </c>
      <c r="B3" s="70"/>
      <c r="C3" s="71"/>
      <c r="D3" s="72"/>
      <c r="G3" s="18" t="s">
        <v>96</v>
      </c>
      <c r="H3" s="69"/>
      <c r="I3" s="69"/>
      <c r="J3" s="69"/>
      <c r="K3" s="69"/>
      <c r="L3" s="69"/>
    </row>
    <row r="4" spans="1:12">
      <c r="A4" s="18" t="s">
        <v>97</v>
      </c>
      <c r="B4" s="70"/>
      <c r="C4" s="71"/>
      <c r="D4" s="72"/>
      <c r="G4" s="18" t="s">
        <v>98</v>
      </c>
      <c r="H4" s="69" t="s">
        <v>99</v>
      </c>
      <c r="I4" s="69"/>
      <c r="J4" s="69"/>
      <c r="K4" s="69"/>
      <c r="L4" s="69"/>
    </row>
    <row r="5" spans="1:12" ht="15" thickBot="1"/>
    <row r="6" spans="1:12" ht="15" thickBot="1">
      <c r="B6" s="67" t="s">
        <v>2</v>
      </c>
      <c r="C6" s="67"/>
      <c r="D6" s="67"/>
      <c r="E6" s="68" t="s">
        <v>3</v>
      </c>
      <c r="F6" s="68"/>
      <c r="G6" s="68"/>
    </row>
    <row r="7" spans="1:12">
      <c r="A7" s="12" t="s">
        <v>100</v>
      </c>
      <c r="B7" s="44" t="s">
        <v>101</v>
      </c>
      <c r="C7" s="45" t="s">
        <v>102</v>
      </c>
      <c r="D7" s="46" t="s">
        <v>103</v>
      </c>
      <c r="E7" s="47" t="s">
        <v>101</v>
      </c>
      <c r="F7" s="45" t="s">
        <v>102</v>
      </c>
      <c r="G7" s="46" t="s">
        <v>103</v>
      </c>
    </row>
    <row r="8" spans="1:12">
      <c r="A8" s="5" t="s">
        <v>104</v>
      </c>
      <c r="B8" s="6">
        <f>A_Inattention!C16</f>
        <v>20</v>
      </c>
      <c r="C8" s="29">
        <v>30</v>
      </c>
      <c r="D8" s="33">
        <f>IFERROR(ROUND(B8/30,2),"")</f>
        <v>0.67</v>
      </c>
      <c r="E8" s="31">
        <f>A_Inattention!D16</f>
        <v>21</v>
      </c>
      <c r="F8" s="29">
        <v>30</v>
      </c>
      <c r="G8" s="33">
        <f>IFERROR(ROUND(E8/30,2),"")</f>
        <v>0.7</v>
      </c>
    </row>
    <row r="9" spans="1:12">
      <c r="A9" s="7" t="s">
        <v>105</v>
      </c>
      <c r="B9" s="8">
        <f>B_HyperImpuls!C13</f>
        <v>8</v>
      </c>
      <c r="C9" s="30">
        <v>24</v>
      </c>
      <c r="D9" s="34">
        <f>IFERROR(ROUND(B9/24,2),"")</f>
        <v>0.33</v>
      </c>
      <c r="E9" s="32">
        <f>B_HyperImpuls!D13</f>
        <v>8</v>
      </c>
      <c r="F9" s="30">
        <v>24</v>
      </c>
      <c r="G9" s="34">
        <f>IFERROR(ROUND(E9/24,2),"")</f>
        <v>0.33</v>
      </c>
    </row>
    <row r="10" spans="1:12" ht="15" thickBot="1">
      <c r="A10" s="5" t="s">
        <v>106</v>
      </c>
      <c r="B10" s="6">
        <f>E_Impact!C8</f>
        <v>6</v>
      </c>
      <c r="C10" s="29">
        <v>9</v>
      </c>
      <c r="D10" s="35">
        <f>IFERROR(ROUND(B10/9,2),"")</f>
        <v>0.67</v>
      </c>
      <c r="E10" s="31">
        <f>E_Impact!D8</f>
        <v>6</v>
      </c>
      <c r="F10" s="29">
        <v>9</v>
      </c>
      <c r="G10" s="35">
        <f>IFERROR(ROUND(E10/9,2),"")</f>
        <v>0.67</v>
      </c>
    </row>
    <row r="11" spans="1:12" ht="15" thickBot="1"/>
    <row r="12" spans="1:12" ht="15" thickBot="1">
      <c r="B12" s="67" t="s">
        <v>2</v>
      </c>
      <c r="C12" s="67"/>
      <c r="D12" s="67"/>
      <c r="E12" s="68" t="s">
        <v>3</v>
      </c>
      <c r="F12" s="68"/>
      <c r="G12" s="68"/>
    </row>
    <row r="13" spans="1:12">
      <c r="A13" s="58" t="s">
        <v>107</v>
      </c>
      <c r="B13" s="13"/>
      <c r="C13" s="13"/>
      <c r="D13" s="46" t="s">
        <v>103</v>
      </c>
      <c r="E13" s="13"/>
      <c r="F13" s="13"/>
      <c r="G13" s="46" t="s">
        <v>103</v>
      </c>
    </row>
    <row r="14" spans="1:12">
      <c r="A14" s="9" t="s">
        <v>108</v>
      </c>
      <c r="B14" s="6">
        <f>A_Inattention!C10+A_Inattention!C14+C_Devoirs!C4+C_Devoirs!C11</f>
        <v>6</v>
      </c>
      <c r="C14" s="29">
        <v>12</v>
      </c>
      <c r="D14" s="33">
        <f>IFERROR(ROUND(B14/12,2),"")</f>
        <v>0.5</v>
      </c>
      <c r="E14" s="31">
        <f>A_Inattention!D10+A_Inattention!D14+C_Devoirs!D4+C_Devoirs!D11</f>
        <v>8</v>
      </c>
      <c r="F14" s="29">
        <v>12</v>
      </c>
      <c r="G14" s="33">
        <f>IFERROR(ROUND(E14/12,2),"")</f>
        <v>0.67</v>
      </c>
    </row>
    <row r="15" spans="1:12">
      <c r="A15" s="10" t="s">
        <v>109</v>
      </c>
      <c r="B15" s="8">
        <f>A_Inattention!C9+A_Inattention!C11+A_Inattention!C13+C_Devoirs!C10+C_Devoirs!C8</f>
        <v>8</v>
      </c>
      <c r="C15" s="30">
        <v>15</v>
      </c>
      <c r="D15" s="34">
        <f>IFERROR(ROUND(B15/15,2),"")</f>
        <v>0.53</v>
      </c>
      <c r="E15" s="32">
        <f>A_Inattention!D9+A_Inattention!D11+A_Inattention!D13+C_Devoirs!D10+C_Devoirs!D8</f>
        <v>10</v>
      </c>
      <c r="F15" s="30">
        <v>15</v>
      </c>
      <c r="G15" s="34">
        <f>IFERROR(ROUND(E15/15,2),"")</f>
        <v>0.67</v>
      </c>
    </row>
    <row r="16" spans="1:12">
      <c r="A16" s="5" t="s">
        <v>110</v>
      </c>
      <c r="B16" s="6">
        <f>C_Devoirs!C14</f>
        <v>9</v>
      </c>
      <c r="C16" s="29">
        <v>27</v>
      </c>
      <c r="D16" s="33">
        <f>IFERROR(ROUND(B16/27,2),"")</f>
        <v>0.33</v>
      </c>
      <c r="E16" s="31">
        <f>C_Devoirs!D14</f>
        <v>14</v>
      </c>
      <c r="F16" s="29">
        <v>27</v>
      </c>
      <c r="G16" s="33">
        <f>IFERROR(ROUND(E16/27,2),"")</f>
        <v>0.52</v>
      </c>
    </row>
    <row r="17" spans="1:7" ht="15" thickBot="1">
      <c r="A17" s="5" t="s">
        <v>111</v>
      </c>
      <c r="B17" s="6">
        <f>D_Réactions_confrontation!C15</f>
        <v>20</v>
      </c>
      <c r="C17" s="29">
        <v>30</v>
      </c>
      <c r="D17" s="62">
        <f>IFERROR(ROUND(B17/27,2),"")</f>
        <v>0.74</v>
      </c>
      <c r="E17" s="6">
        <f>D_Réactions_confrontation!D15</f>
        <v>18</v>
      </c>
      <c r="F17" s="61">
        <v>30</v>
      </c>
      <c r="G17" s="62">
        <f>IFERROR(ROUND(E17/27,2),"")</f>
        <v>0.67</v>
      </c>
    </row>
    <row r="18" spans="1:7" ht="15" thickBot="1"/>
    <row r="19" spans="1:7">
      <c r="A19" s="28" t="s">
        <v>112</v>
      </c>
      <c r="B19" s="38" t="s">
        <v>2</v>
      </c>
      <c r="C19" s="39" t="s">
        <v>3</v>
      </c>
    </row>
    <row r="20" spans="1:7">
      <c r="A20" s="36" t="s">
        <v>104</v>
      </c>
      <c r="B20" s="40">
        <f>D8</f>
        <v>0.67</v>
      </c>
      <c r="C20" s="41">
        <f>G8</f>
        <v>0.7</v>
      </c>
      <c r="D20" t="s">
        <v>113</v>
      </c>
    </row>
    <row r="21" spans="1:7">
      <c r="A21" s="37" t="s">
        <v>105</v>
      </c>
      <c r="B21" s="42">
        <f>D9</f>
        <v>0.33</v>
      </c>
      <c r="C21" s="43">
        <f>G9</f>
        <v>0.33</v>
      </c>
    </row>
    <row r="22" spans="1:7">
      <c r="A22" s="36" t="s">
        <v>110</v>
      </c>
      <c r="B22" s="40">
        <f>D16</f>
        <v>0.33</v>
      </c>
      <c r="C22" s="41">
        <f>G16</f>
        <v>0.52</v>
      </c>
    </row>
    <row r="23" spans="1:7">
      <c r="A23" s="37" t="s">
        <v>106</v>
      </c>
      <c r="B23" s="42">
        <f t="shared" ref="B23" si="0">D10</f>
        <v>0.67</v>
      </c>
      <c r="C23" s="43">
        <f>G10</f>
        <v>0.67</v>
      </c>
    </row>
    <row r="24" spans="1:7">
      <c r="A24" s="36" t="s">
        <v>108</v>
      </c>
      <c r="B24" s="40">
        <f>D14</f>
        <v>0.5</v>
      </c>
      <c r="C24" s="41">
        <f>G14</f>
        <v>0.67</v>
      </c>
    </row>
    <row r="25" spans="1:7">
      <c r="A25" s="37" t="s">
        <v>109</v>
      </c>
      <c r="B25" s="42">
        <f>D15</f>
        <v>0.53</v>
      </c>
      <c r="C25" s="43">
        <f>G15</f>
        <v>0.67</v>
      </c>
    </row>
    <row r="26" spans="1:7" ht="15" thickBot="1">
      <c r="A26" s="36" t="s">
        <v>111</v>
      </c>
      <c r="B26" s="59">
        <f>D17</f>
        <v>0.74</v>
      </c>
      <c r="C26" s="60">
        <f>G17</f>
        <v>0.67</v>
      </c>
    </row>
  </sheetData>
  <sheetProtection algorithmName="SHA-512" hashValue="h3xyC7mB/Ocm8ETBWpPybW7FucY+/5XnGzA93Z64SrubauLGaqUZQC6WNSpW4fToyHKEUTCu/wKL0tqewriL/w==" saltValue="p9Z0lnb3ZrSEEksON4/fXg==" spinCount="100000" sheet="1" objects="1" scenarios="1"/>
  <mergeCells count="9">
    <mergeCell ref="A1:B1"/>
    <mergeCell ref="B6:D6"/>
    <mergeCell ref="E6:G6"/>
    <mergeCell ref="E12:G12"/>
    <mergeCell ref="B12:D12"/>
    <mergeCell ref="H3:L3"/>
    <mergeCell ref="H4:L4"/>
    <mergeCell ref="B3:D3"/>
    <mergeCell ref="B4:D4"/>
  </mergeCells>
  <pageMargins left="0.75" right="0.75" top="1" bottom="1" header="0.5" footer="0.5"/>
  <pageSetup paperSize="9" scale="87" orientation="landscape" verticalDpi="0" r:id="rId1"/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tabColor rgb="FF00B050"/>
    <pageSetUpPr fitToPage="1"/>
  </sheetPr>
  <dimension ref="A1:E17"/>
  <sheetViews>
    <sheetView workbookViewId="0">
      <pane ySplit="4" topLeftCell="A5" activePane="bottomLeft" state="frozen"/>
      <selection pane="bottomLeft" sqref="A1:E1"/>
    </sheetView>
  </sheetViews>
  <sheetFormatPr defaultColWidth="8.85546875" defaultRowHeight="14.45"/>
  <cols>
    <col min="1" max="1" width="26.7109375" customWidth="1"/>
    <col min="2" max="4" width="14" customWidth="1"/>
    <col min="5" max="5" width="56.5703125" customWidth="1"/>
  </cols>
  <sheetData>
    <row r="1" spans="1:5" ht="18">
      <c r="A1" s="75" t="s">
        <v>114</v>
      </c>
      <c r="B1" s="75"/>
      <c r="C1" s="75"/>
      <c r="D1" s="75"/>
      <c r="E1" s="75"/>
    </row>
    <row r="3" spans="1:5">
      <c r="A3" s="1" t="s">
        <v>115</v>
      </c>
    </row>
    <row r="4" spans="1:5">
      <c r="A4" s="11" t="s">
        <v>112</v>
      </c>
      <c r="B4" s="11" t="s">
        <v>116</v>
      </c>
      <c r="C4" s="11" t="s">
        <v>117</v>
      </c>
      <c r="D4" s="11" t="s">
        <v>118</v>
      </c>
      <c r="E4" s="11" t="s">
        <v>119</v>
      </c>
    </row>
    <row r="5" spans="1:5">
      <c r="A5" s="14" t="s">
        <v>120</v>
      </c>
      <c r="B5" s="16" t="s">
        <v>121</v>
      </c>
      <c r="C5" s="16" t="s">
        <v>122</v>
      </c>
      <c r="D5" s="16" t="s">
        <v>123</v>
      </c>
      <c r="E5" s="14" t="s">
        <v>124</v>
      </c>
    </row>
    <row r="6" spans="1:5">
      <c r="A6" s="15" t="s">
        <v>125</v>
      </c>
      <c r="B6" s="17" t="s">
        <v>126</v>
      </c>
      <c r="C6" s="17" t="s">
        <v>127</v>
      </c>
      <c r="D6" s="17" t="s">
        <v>128</v>
      </c>
      <c r="E6" s="15" t="s">
        <v>129</v>
      </c>
    </row>
    <row r="7" spans="1:5">
      <c r="A7" s="14" t="s">
        <v>130</v>
      </c>
      <c r="B7" s="16" t="s">
        <v>131</v>
      </c>
      <c r="C7" s="16" t="s">
        <v>132</v>
      </c>
      <c r="D7" s="16" t="s">
        <v>133</v>
      </c>
      <c r="E7" s="14" t="s">
        <v>134</v>
      </c>
    </row>
    <row r="8" spans="1:5">
      <c r="A8" s="15" t="s">
        <v>135</v>
      </c>
      <c r="B8" s="17" t="s">
        <v>136</v>
      </c>
      <c r="C8" s="17" t="s">
        <v>137</v>
      </c>
      <c r="D8" s="17" t="s">
        <v>138</v>
      </c>
      <c r="E8" s="15" t="s">
        <v>139</v>
      </c>
    </row>
    <row r="9" spans="1:5">
      <c r="A9" s="14" t="s">
        <v>140</v>
      </c>
      <c r="B9" s="16" t="s">
        <v>141</v>
      </c>
      <c r="C9" s="16" t="s">
        <v>142</v>
      </c>
      <c r="D9" s="16" t="s">
        <v>143</v>
      </c>
      <c r="E9" s="14" t="s">
        <v>144</v>
      </c>
    </row>
    <row r="10" spans="1:5">
      <c r="A10" s="15" t="s">
        <v>145</v>
      </c>
      <c r="B10" s="17" t="s">
        <v>146</v>
      </c>
      <c r="C10" s="17" t="s">
        <v>147</v>
      </c>
      <c r="D10" s="17" t="s">
        <v>148</v>
      </c>
      <c r="E10" s="15" t="s">
        <v>149</v>
      </c>
    </row>
    <row r="11" spans="1:5" ht="15.6" customHeight="1">
      <c r="A11" s="14" t="s">
        <v>150</v>
      </c>
      <c r="B11" s="16" t="s">
        <v>151</v>
      </c>
      <c r="C11" s="63" t="s">
        <v>152</v>
      </c>
      <c r="D11" s="16" t="s">
        <v>153</v>
      </c>
      <c r="E11" s="14" t="s">
        <v>154</v>
      </c>
    </row>
    <row r="13" spans="1:5">
      <c r="A13" s="76" t="s">
        <v>155</v>
      </c>
      <c r="B13" s="76"/>
      <c r="C13" s="76"/>
      <c r="D13" s="76"/>
      <c r="E13" s="76"/>
    </row>
    <row r="14" spans="1:5">
      <c r="A14" s="77" t="s">
        <v>156</v>
      </c>
      <c r="B14" s="77"/>
      <c r="C14" s="77"/>
      <c r="D14" s="77"/>
      <c r="E14" s="77"/>
    </row>
    <row r="15" spans="1:5">
      <c r="A15" s="74" t="s">
        <v>157</v>
      </c>
      <c r="B15" s="74"/>
      <c r="C15" s="74"/>
      <c r="D15" s="74"/>
      <c r="E15" s="74"/>
    </row>
    <row r="16" spans="1:5" ht="33" customHeight="1">
      <c r="A16" s="78" t="s">
        <v>158</v>
      </c>
      <c r="B16" s="78"/>
      <c r="C16" s="78"/>
      <c r="D16" s="78"/>
      <c r="E16" s="78"/>
    </row>
    <row r="17" spans="1:5">
      <c r="A17" s="74" t="s">
        <v>159</v>
      </c>
      <c r="B17" s="74"/>
      <c r="C17" s="74"/>
      <c r="D17" s="74"/>
      <c r="E17" s="74"/>
    </row>
  </sheetData>
  <mergeCells count="6">
    <mergeCell ref="A15:E15"/>
    <mergeCell ref="A17:E17"/>
    <mergeCell ref="A1:E1"/>
    <mergeCell ref="A13:E13"/>
    <mergeCell ref="A14:E14"/>
    <mergeCell ref="A16:E16"/>
  </mergeCells>
  <phoneticPr fontId="8" type="noConversion"/>
  <pageMargins left="0.75" right="0.75" top="1" bottom="1" header="0.5" footer="0.5"/>
  <pageSetup paperSize="9" orientation="landscape" verticalDpi="0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EA55080-122B-49D0-A49F-554019FEBFD3}">
  <sheetPr>
    <tabColor theme="5"/>
  </sheetPr>
  <dimension ref="A1:D48"/>
  <sheetViews>
    <sheetView workbookViewId="0">
      <pane ySplit="4" topLeftCell="A16" activePane="bottomLeft" state="frozen"/>
      <selection pane="bottomLeft" activeCell="D42" sqref="D42"/>
    </sheetView>
  </sheetViews>
  <sheetFormatPr defaultColWidth="8.85546875" defaultRowHeight="14.45"/>
  <cols>
    <col min="1" max="1" width="26" customWidth="1"/>
    <col min="2" max="2" width="90" customWidth="1"/>
    <col min="3" max="3" width="16" customWidth="1"/>
    <col min="4" max="4" width="45" customWidth="1"/>
  </cols>
  <sheetData>
    <row r="1" spans="1:4" ht="18">
      <c r="A1" s="80" t="s">
        <v>160</v>
      </c>
      <c r="B1" s="75"/>
    </row>
    <row r="3" spans="1:4" ht="29.45" customHeight="1">
      <c r="A3" s="79" t="s">
        <v>161</v>
      </c>
      <c r="B3" s="79"/>
    </row>
    <row r="4" spans="1:4">
      <c r="A4" s="56" t="s">
        <v>162</v>
      </c>
      <c r="B4" s="56" t="s">
        <v>163</v>
      </c>
      <c r="C4" s="56" t="s">
        <v>164</v>
      </c>
      <c r="D4" s="56" t="s">
        <v>165</v>
      </c>
    </row>
    <row r="5" spans="1:4">
      <c r="A5" t="s">
        <v>166</v>
      </c>
      <c r="B5" t="s">
        <v>167</v>
      </c>
    </row>
    <row r="6" spans="1:4">
      <c r="A6" t="s">
        <v>166</v>
      </c>
      <c r="B6" t="s">
        <v>168</v>
      </c>
    </row>
    <row r="7" spans="1:4">
      <c r="A7" t="s">
        <v>166</v>
      </c>
      <c r="B7" t="s">
        <v>169</v>
      </c>
    </row>
    <row r="8" spans="1:4">
      <c r="A8" t="s">
        <v>166</v>
      </c>
      <c r="B8" t="s">
        <v>170</v>
      </c>
    </row>
    <row r="9" spans="1:4">
      <c r="A9" t="s">
        <v>166</v>
      </c>
      <c r="B9" t="s">
        <v>171</v>
      </c>
    </row>
    <row r="10" spans="1:4">
      <c r="A10" t="s">
        <v>166</v>
      </c>
      <c r="B10" t="s">
        <v>172</v>
      </c>
    </row>
    <row r="11" spans="1:4">
      <c r="A11" t="s">
        <v>173</v>
      </c>
      <c r="B11" t="s">
        <v>174</v>
      </c>
    </row>
    <row r="12" spans="1:4">
      <c r="A12" t="s">
        <v>173</v>
      </c>
      <c r="B12" t="s">
        <v>175</v>
      </c>
    </row>
    <row r="13" spans="1:4">
      <c r="A13" t="s">
        <v>173</v>
      </c>
      <c r="B13" t="s">
        <v>176</v>
      </c>
    </row>
    <row r="14" spans="1:4">
      <c r="A14" t="s">
        <v>173</v>
      </c>
      <c r="B14" t="s">
        <v>177</v>
      </c>
    </row>
    <row r="15" spans="1:4">
      <c r="A15" t="s">
        <v>173</v>
      </c>
      <c r="B15" t="s">
        <v>178</v>
      </c>
    </row>
    <row r="16" spans="1:4">
      <c r="A16" t="s">
        <v>179</v>
      </c>
      <c r="B16" t="s">
        <v>180</v>
      </c>
    </row>
    <row r="17" spans="1:2">
      <c r="A17" t="s">
        <v>179</v>
      </c>
      <c r="B17" t="s">
        <v>181</v>
      </c>
    </row>
    <row r="18" spans="1:2">
      <c r="A18" t="s">
        <v>179</v>
      </c>
      <c r="B18" t="s">
        <v>182</v>
      </c>
    </row>
    <row r="19" spans="1:2">
      <c r="A19" t="s">
        <v>179</v>
      </c>
      <c r="B19" t="s">
        <v>183</v>
      </c>
    </row>
    <row r="20" spans="1:2">
      <c r="A20" t="s">
        <v>184</v>
      </c>
      <c r="B20" t="s">
        <v>185</v>
      </c>
    </row>
    <row r="21" spans="1:2">
      <c r="A21" t="s">
        <v>184</v>
      </c>
      <c r="B21" t="s">
        <v>186</v>
      </c>
    </row>
    <row r="22" spans="1:2">
      <c r="A22" t="s">
        <v>184</v>
      </c>
      <c r="B22" t="s">
        <v>187</v>
      </c>
    </row>
    <row r="23" spans="1:2">
      <c r="A23" t="s">
        <v>184</v>
      </c>
      <c r="B23" t="s">
        <v>188</v>
      </c>
    </row>
    <row r="24" spans="1:2">
      <c r="A24" t="s">
        <v>184</v>
      </c>
      <c r="B24" t="s">
        <v>189</v>
      </c>
    </row>
    <row r="25" spans="1:2">
      <c r="A25" t="s">
        <v>184</v>
      </c>
      <c r="B25" t="s">
        <v>190</v>
      </c>
    </row>
    <row r="26" spans="1:2">
      <c r="A26" t="s">
        <v>191</v>
      </c>
      <c r="B26" t="s">
        <v>192</v>
      </c>
    </row>
    <row r="27" spans="1:2">
      <c r="A27" t="s">
        <v>191</v>
      </c>
      <c r="B27" t="s">
        <v>193</v>
      </c>
    </row>
    <row r="28" spans="1:2">
      <c r="A28" t="s">
        <v>191</v>
      </c>
      <c r="B28" t="s">
        <v>194</v>
      </c>
    </row>
    <row r="29" spans="1:2">
      <c r="A29" t="s">
        <v>191</v>
      </c>
      <c r="B29" t="s">
        <v>195</v>
      </c>
    </row>
    <row r="30" spans="1:2">
      <c r="A30" t="s">
        <v>196</v>
      </c>
      <c r="B30" t="s">
        <v>197</v>
      </c>
    </row>
    <row r="31" spans="1:2">
      <c r="A31" t="s">
        <v>196</v>
      </c>
      <c r="B31" t="s">
        <v>198</v>
      </c>
    </row>
    <row r="32" spans="1:2">
      <c r="A32" t="s">
        <v>196</v>
      </c>
      <c r="B32" t="s">
        <v>199</v>
      </c>
    </row>
    <row r="33" spans="1:2">
      <c r="A33" t="s">
        <v>196</v>
      </c>
      <c r="B33" t="s">
        <v>200</v>
      </c>
    </row>
    <row r="34" spans="1:2">
      <c r="A34" t="s">
        <v>201</v>
      </c>
      <c r="B34" t="s">
        <v>202</v>
      </c>
    </row>
    <row r="35" spans="1:2">
      <c r="A35" t="s">
        <v>201</v>
      </c>
      <c r="B35" t="s">
        <v>203</v>
      </c>
    </row>
    <row r="36" spans="1:2">
      <c r="A36" t="s">
        <v>201</v>
      </c>
      <c r="B36" t="s">
        <v>204</v>
      </c>
    </row>
    <row r="38" spans="1:2">
      <c r="A38" s="65" t="s">
        <v>205</v>
      </c>
    </row>
    <row r="39" spans="1:2">
      <c r="A39" s="81"/>
      <c r="B39" s="81"/>
    </row>
    <row r="40" spans="1:2">
      <c r="A40" s="81"/>
      <c r="B40" s="81"/>
    </row>
    <row r="41" spans="1:2">
      <c r="A41" s="81"/>
      <c r="B41" s="81"/>
    </row>
    <row r="42" spans="1:2">
      <c r="A42" s="81"/>
      <c r="B42" s="81"/>
    </row>
    <row r="43" spans="1:2">
      <c r="A43" s="81"/>
      <c r="B43" s="81"/>
    </row>
    <row r="44" spans="1:2">
      <c r="A44" s="81"/>
      <c r="B44" s="81"/>
    </row>
    <row r="45" spans="1:2">
      <c r="A45" s="81"/>
      <c r="B45" s="81"/>
    </row>
    <row r="46" spans="1:2">
      <c r="A46" s="81"/>
      <c r="B46" s="81"/>
    </row>
    <row r="47" spans="1:2">
      <c r="A47" s="81"/>
      <c r="B47" s="81"/>
    </row>
    <row r="48" spans="1:2">
      <c r="A48" s="81"/>
      <c r="B48" s="81"/>
    </row>
  </sheetData>
  <mergeCells count="3">
    <mergeCell ref="A3:B3"/>
    <mergeCell ref="A1:B1"/>
    <mergeCell ref="A39:B48"/>
  </mergeCells>
  <dataValidations count="1">
    <dataValidation type="whole" allowBlank="1" promptTitle="Présence de la ressource" prompt="0 = Non observée | 1 = Occasionnelle | 2 = Souvent | 3 = Fréquente / solide" sqref="C5:C36" xr:uid="{00000000-0002-0000-0000-000000000000}">
      <formula1>0</formula1>
      <formula2>3</formula2>
    </dataValidation>
  </dataValidations>
  <pageMargins left="0.75" right="0.75" top="1" bottom="1" header="0.5" footer="0.5"/>
  <tableParts count="1">
    <tablePart r:id="rId1"/>
  </tableParts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tabColor rgb="FF7030A0"/>
    <pageSetUpPr fitToPage="1"/>
  </sheetPr>
  <dimension ref="A1:N74"/>
  <sheetViews>
    <sheetView tabSelected="1" workbookViewId="0">
      <pane ySplit="8" topLeftCell="A9" activePane="bottomLeft" state="frozen"/>
      <selection pane="bottomLeft" activeCell="J10" sqref="J10:N74"/>
    </sheetView>
  </sheetViews>
  <sheetFormatPr defaultColWidth="8.85546875" defaultRowHeight="14.45"/>
  <cols>
    <col min="1" max="1" width="29.140625" customWidth="1"/>
    <col min="2" max="2" width="11.28515625" bestFit="1" customWidth="1"/>
    <col min="3" max="3" width="7.85546875" customWidth="1"/>
    <col min="4" max="4" width="4.28515625" customWidth="1"/>
    <col min="5" max="5" width="27.5703125" customWidth="1"/>
    <col min="6" max="7" width="12" customWidth="1"/>
    <col min="8" max="8" width="33.140625" customWidth="1"/>
  </cols>
  <sheetData>
    <row r="1" spans="1:14" ht="18">
      <c r="A1" s="80" t="s">
        <v>206</v>
      </c>
      <c r="B1" s="80"/>
      <c r="C1" s="80"/>
      <c r="D1" s="80"/>
      <c r="E1" s="80"/>
    </row>
    <row r="3" spans="1:14">
      <c r="A3" s="19" t="s">
        <v>95</v>
      </c>
      <c r="B3" s="103">
        <f>Synthèse!B3</f>
        <v>0</v>
      </c>
      <c r="C3" s="104"/>
      <c r="D3" s="104"/>
      <c r="E3" s="105"/>
    </row>
    <row r="4" spans="1:14">
      <c r="A4" s="19" t="s">
        <v>97</v>
      </c>
      <c r="B4" s="103">
        <f>Synthèse!B4</f>
        <v>0</v>
      </c>
      <c r="C4" s="104"/>
      <c r="D4" s="104"/>
      <c r="E4" s="105"/>
    </row>
    <row r="5" spans="1:14" ht="28.9" customHeight="1">
      <c r="A5" s="49" t="s">
        <v>98</v>
      </c>
      <c r="B5" s="103" t="str">
        <f>Synthèse!H4</f>
        <v xml:space="preserve">Evaluation 1 :                            Evaluation 2 :             </v>
      </c>
      <c r="C5" s="104"/>
      <c r="D5" s="104"/>
      <c r="E5" s="105"/>
    </row>
    <row r="6" spans="1:14">
      <c r="A6" s="19" t="s">
        <v>207</v>
      </c>
      <c r="B6" s="103"/>
      <c r="C6" s="104"/>
      <c r="D6" s="104"/>
      <c r="E6" s="105"/>
    </row>
    <row r="7" spans="1:14">
      <c r="A7" s="19" t="s">
        <v>208</v>
      </c>
      <c r="B7" s="103"/>
      <c r="C7" s="104"/>
      <c r="D7" s="104"/>
      <c r="E7" s="105"/>
    </row>
    <row r="8" spans="1:14" ht="15" thickBot="1"/>
    <row r="9" spans="1:14" ht="15" thickBot="1">
      <c r="A9" s="50" t="s">
        <v>209</v>
      </c>
      <c r="B9" s="48" t="s">
        <v>2</v>
      </c>
      <c r="C9" s="106" t="s">
        <v>3</v>
      </c>
      <c r="D9" s="107"/>
    </row>
    <row r="10" spans="1:14" ht="14.45" customHeight="1">
      <c r="A10" s="20" t="s">
        <v>104</v>
      </c>
      <c r="B10" s="25">
        <f>Synthèse!D8</f>
        <v>0.67</v>
      </c>
      <c r="C10" s="91">
        <f>Synthèse!G8</f>
        <v>0.7</v>
      </c>
      <c r="D10" s="91"/>
      <c r="J10" s="102" t="s">
        <v>210</v>
      </c>
      <c r="K10" s="102"/>
      <c r="L10" s="102"/>
      <c r="M10" s="102"/>
      <c r="N10" s="102"/>
    </row>
    <row r="11" spans="1:14" ht="14.45" customHeight="1">
      <c r="A11" s="21" t="s">
        <v>105</v>
      </c>
      <c r="B11" s="26">
        <f>Synthèse!D9</f>
        <v>0.33</v>
      </c>
      <c r="C11" s="108">
        <f>Synthèse!G9</f>
        <v>0.33</v>
      </c>
      <c r="D11" s="108"/>
      <c r="I11" s="52"/>
      <c r="J11" s="102"/>
      <c r="K11" s="102"/>
      <c r="L11" s="102"/>
      <c r="M11" s="102"/>
      <c r="N11" s="102"/>
    </row>
    <row r="12" spans="1:14" ht="14.45" customHeight="1">
      <c r="A12" s="20" t="s">
        <v>110</v>
      </c>
      <c r="B12" s="25">
        <f>Synthèse!D16</f>
        <v>0.33</v>
      </c>
      <c r="C12" s="91">
        <f>Synthèse!G16</f>
        <v>0.52</v>
      </c>
      <c r="D12" s="91"/>
      <c r="I12" s="52"/>
      <c r="J12" s="102"/>
      <c r="K12" s="102"/>
      <c r="L12" s="102"/>
      <c r="M12" s="102"/>
      <c r="N12" s="102"/>
    </row>
    <row r="13" spans="1:14" ht="14.45" customHeight="1">
      <c r="A13" s="21" t="s">
        <v>106</v>
      </c>
      <c r="B13" s="26">
        <f>Synthèse!D10</f>
        <v>0.67</v>
      </c>
      <c r="C13" s="108">
        <f>Synthèse!G10</f>
        <v>0.67</v>
      </c>
      <c r="D13" s="108"/>
      <c r="F13" s="82" t="s">
        <v>211</v>
      </c>
      <c r="G13" s="83"/>
      <c r="H13" s="84"/>
      <c r="I13" s="52"/>
      <c r="J13" s="102"/>
      <c r="K13" s="102"/>
      <c r="L13" s="102"/>
      <c r="M13" s="102"/>
      <c r="N13" s="102"/>
    </row>
    <row r="14" spans="1:14" ht="14.45" customHeight="1">
      <c r="A14" s="20" t="s">
        <v>108</v>
      </c>
      <c r="B14" s="25">
        <f>Synthèse!D14</f>
        <v>0.5</v>
      </c>
      <c r="C14" s="91">
        <f>Synthèse!G14</f>
        <v>0.67</v>
      </c>
      <c r="D14" s="91"/>
      <c r="F14" s="85"/>
      <c r="G14" s="86"/>
      <c r="H14" s="87"/>
      <c r="I14" s="52"/>
      <c r="J14" s="102"/>
      <c r="K14" s="102"/>
      <c r="L14" s="102"/>
      <c r="M14" s="102"/>
      <c r="N14" s="102"/>
    </row>
    <row r="15" spans="1:14" ht="14.45" customHeight="1">
      <c r="A15" s="21" t="s">
        <v>109</v>
      </c>
      <c r="B15" s="26">
        <f>Synthèse!D15</f>
        <v>0.53</v>
      </c>
      <c r="C15" s="92">
        <f>Synthèse!G15</f>
        <v>0.67</v>
      </c>
      <c r="D15" s="93"/>
      <c r="F15" s="85"/>
      <c r="G15" s="86"/>
      <c r="H15" s="87"/>
      <c r="I15" s="2"/>
      <c r="J15" s="102"/>
      <c r="K15" s="102"/>
      <c r="L15" s="102"/>
      <c r="M15" s="102"/>
      <c r="N15" s="102"/>
    </row>
    <row r="16" spans="1:14" ht="14.45" customHeight="1">
      <c r="A16" s="64" t="s">
        <v>111</v>
      </c>
      <c r="B16" s="26">
        <f>Synthèse!D17</f>
        <v>0.74</v>
      </c>
      <c r="C16" s="92">
        <f>Synthèse!G17</f>
        <v>0.67</v>
      </c>
      <c r="D16" s="93"/>
      <c r="F16" s="85"/>
      <c r="G16" s="86"/>
      <c r="H16" s="87"/>
      <c r="I16" s="2"/>
      <c r="J16" s="102"/>
      <c r="K16" s="102"/>
      <c r="L16" s="102"/>
      <c r="M16" s="102"/>
      <c r="N16" s="102"/>
    </row>
    <row r="17" spans="1:14">
      <c r="F17" s="88"/>
      <c r="G17" s="89"/>
      <c r="H17" s="90"/>
      <c r="J17" s="102"/>
      <c r="K17" s="102"/>
      <c r="L17" s="102"/>
      <c r="M17" s="102"/>
      <c r="N17" s="102"/>
    </row>
    <row r="18" spans="1:14" ht="14.45" customHeight="1">
      <c r="A18" s="82" t="s">
        <v>212</v>
      </c>
      <c r="B18" s="94"/>
      <c r="C18" s="94"/>
      <c r="D18" s="94"/>
      <c r="E18" s="95"/>
      <c r="F18" s="82" t="s">
        <v>213</v>
      </c>
      <c r="G18" s="83"/>
      <c r="H18" s="84"/>
      <c r="I18" s="23"/>
      <c r="J18" s="102"/>
      <c r="K18" s="102"/>
      <c r="L18" s="102"/>
      <c r="M18" s="102"/>
      <c r="N18" s="102"/>
    </row>
    <row r="19" spans="1:14">
      <c r="A19" s="96"/>
      <c r="B19" s="97"/>
      <c r="C19" s="97"/>
      <c r="D19" s="97"/>
      <c r="E19" s="98"/>
      <c r="F19" s="85"/>
      <c r="G19" s="86"/>
      <c r="H19" s="87"/>
      <c r="I19" s="22"/>
      <c r="J19" s="102"/>
      <c r="K19" s="102"/>
      <c r="L19" s="102"/>
      <c r="M19" s="102"/>
      <c r="N19" s="102"/>
    </row>
    <row r="20" spans="1:14">
      <c r="A20" s="96"/>
      <c r="B20" s="97"/>
      <c r="C20" s="97"/>
      <c r="D20" s="97"/>
      <c r="E20" s="98"/>
      <c r="F20" s="85"/>
      <c r="G20" s="86"/>
      <c r="H20" s="87"/>
      <c r="I20" s="24"/>
      <c r="J20" s="102"/>
      <c r="K20" s="102"/>
      <c r="L20" s="102"/>
      <c r="M20" s="102"/>
      <c r="N20" s="102"/>
    </row>
    <row r="21" spans="1:14">
      <c r="A21" s="99"/>
      <c r="B21" s="100"/>
      <c r="C21" s="100"/>
      <c r="D21" s="100"/>
      <c r="E21" s="101"/>
      <c r="F21" s="88"/>
      <c r="G21" s="89"/>
      <c r="H21" s="90"/>
      <c r="I21" s="23"/>
      <c r="J21" s="102"/>
      <c r="K21" s="102"/>
      <c r="L21" s="102"/>
      <c r="M21" s="102"/>
      <c r="N21" s="102"/>
    </row>
    <row r="22" spans="1:14">
      <c r="A22" s="82" t="s">
        <v>214</v>
      </c>
      <c r="B22" s="94"/>
      <c r="C22" s="94"/>
      <c r="D22" s="94"/>
      <c r="E22" s="95"/>
      <c r="F22" s="82" t="s">
        <v>215</v>
      </c>
      <c r="G22" s="83"/>
      <c r="H22" s="84"/>
      <c r="J22" s="102"/>
      <c r="K22" s="102"/>
      <c r="L22" s="102"/>
      <c r="M22" s="102"/>
      <c r="N22" s="102"/>
    </row>
    <row r="23" spans="1:14">
      <c r="A23" s="96"/>
      <c r="B23" s="97"/>
      <c r="C23" s="97"/>
      <c r="D23" s="97"/>
      <c r="E23" s="98"/>
      <c r="F23" s="85"/>
      <c r="G23" s="86"/>
      <c r="H23" s="87"/>
      <c r="I23" s="22"/>
      <c r="J23" s="102"/>
      <c r="K23" s="102"/>
      <c r="L23" s="102"/>
      <c r="M23" s="102"/>
      <c r="N23" s="102"/>
    </row>
    <row r="24" spans="1:14">
      <c r="A24" s="96"/>
      <c r="B24" s="97"/>
      <c r="C24" s="97"/>
      <c r="D24" s="97"/>
      <c r="E24" s="98"/>
      <c r="F24" s="85"/>
      <c r="G24" s="86"/>
      <c r="H24" s="87"/>
      <c r="J24" s="102"/>
      <c r="K24" s="102"/>
      <c r="L24" s="102"/>
      <c r="M24" s="102"/>
      <c r="N24" s="102"/>
    </row>
    <row r="25" spans="1:14">
      <c r="A25" s="99"/>
      <c r="B25" s="100"/>
      <c r="C25" s="100"/>
      <c r="D25" s="100"/>
      <c r="E25" s="101"/>
      <c r="F25" s="88"/>
      <c r="G25" s="89"/>
      <c r="H25" s="90"/>
      <c r="J25" s="102"/>
      <c r="K25" s="102"/>
      <c r="L25" s="102"/>
      <c r="M25" s="102"/>
      <c r="N25" s="102"/>
    </row>
    <row r="26" spans="1:14">
      <c r="A26" s="51"/>
      <c r="B26" s="51"/>
      <c r="C26" s="51"/>
      <c r="D26" s="51"/>
      <c r="E26" s="51"/>
      <c r="J26" s="102"/>
      <c r="K26" s="102"/>
      <c r="L26" s="102"/>
      <c r="M26" s="102"/>
      <c r="N26" s="102"/>
    </row>
    <row r="27" spans="1:14">
      <c r="A27" s="51"/>
      <c r="B27" s="51"/>
      <c r="C27" s="51"/>
      <c r="D27" s="51"/>
      <c r="E27" s="51"/>
      <c r="J27" s="102"/>
      <c r="K27" s="102"/>
      <c r="L27" s="102"/>
      <c r="M27" s="102"/>
      <c r="N27" s="102"/>
    </row>
    <row r="28" spans="1:14" ht="15.6">
      <c r="A28" s="109" t="s">
        <v>216</v>
      </c>
      <c r="B28" s="109"/>
      <c r="C28" s="109"/>
      <c r="D28" s="109"/>
      <c r="E28" s="109"/>
      <c r="F28" s="109"/>
      <c r="G28" s="109"/>
      <c r="H28" s="109"/>
      <c r="J28" s="102"/>
      <c r="K28" s="102"/>
      <c r="L28" s="102"/>
      <c r="M28" s="102"/>
      <c r="N28" s="102"/>
    </row>
    <row r="29" spans="1:14">
      <c r="J29" s="102"/>
      <c r="K29" s="102"/>
      <c r="L29" s="102"/>
      <c r="M29" s="102"/>
      <c r="N29" s="102"/>
    </row>
    <row r="30" spans="1:14">
      <c r="J30" s="102"/>
      <c r="K30" s="102"/>
      <c r="L30" s="102"/>
      <c r="M30" s="102"/>
      <c r="N30" s="102"/>
    </row>
    <row r="31" spans="1:14">
      <c r="J31" s="102"/>
      <c r="K31" s="102"/>
      <c r="L31" s="102"/>
      <c r="M31" s="102"/>
      <c r="N31" s="102"/>
    </row>
    <row r="32" spans="1:14">
      <c r="J32" s="102"/>
      <c r="K32" s="102"/>
      <c r="L32" s="102"/>
      <c r="M32" s="102"/>
      <c r="N32" s="102"/>
    </row>
    <row r="33" spans="10:14">
      <c r="J33" s="102"/>
      <c r="K33" s="102"/>
      <c r="L33" s="102"/>
      <c r="M33" s="102"/>
      <c r="N33" s="102"/>
    </row>
    <row r="34" spans="10:14">
      <c r="J34" s="102"/>
      <c r="K34" s="102"/>
      <c r="L34" s="102"/>
      <c r="M34" s="102"/>
      <c r="N34" s="102"/>
    </row>
    <row r="35" spans="10:14">
      <c r="J35" s="102"/>
      <c r="K35" s="102"/>
      <c r="L35" s="102"/>
      <c r="M35" s="102"/>
      <c r="N35" s="102"/>
    </row>
    <row r="36" spans="10:14">
      <c r="J36" s="102"/>
      <c r="K36" s="102"/>
      <c r="L36" s="102"/>
      <c r="M36" s="102"/>
      <c r="N36" s="102"/>
    </row>
    <row r="37" spans="10:14">
      <c r="J37" s="102"/>
      <c r="K37" s="102"/>
      <c r="L37" s="102"/>
      <c r="M37" s="102"/>
      <c r="N37" s="102"/>
    </row>
    <row r="38" spans="10:14">
      <c r="J38" s="102"/>
      <c r="K38" s="102"/>
      <c r="L38" s="102"/>
      <c r="M38" s="102"/>
      <c r="N38" s="102"/>
    </row>
    <row r="39" spans="10:14">
      <c r="J39" s="102"/>
      <c r="K39" s="102"/>
      <c r="L39" s="102"/>
      <c r="M39" s="102"/>
      <c r="N39" s="102"/>
    </row>
    <row r="40" spans="10:14">
      <c r="J40" s="102"/>
      <c r="K40" s="102"/>
      <c r="L40" s="102"/>
      <c r="M40" s="102"/>
      <c r="N40" s="102"/>
    </row>
    <row r="41" spans="10:14">
      <c r="J41" s="102"/>
      <c r="K41" s="102"/>
      <c r="L41" s="102"/>
      <c r="M41" s="102"/>
      <c r="N41" s="102"/>
    </row>
    <row r="42" spans="10:14">
      <c r="J42" s="102"/>
      <c r="K42" s="102"/>
      <c r="L42" s="102"/>
      <c r="M42" s="102"/>
      <c r="N42" s="102"/>
    </row>
    <row r="43" spans="10:14">
      <c r="J43" s="102"/>
      <c r="K43" s="102"/>
      <c r="L43" s="102"/>
      <c r="M43" s="102"/>
      <c r="N43" s="102"/>
    </row>
    <row r="44" spans="10:14">
      <c r="J44" s="102"/>
      <c r="K44" s="102"/>
      <c r="L44" s="102"/>
      <c r="M44" s="102"/>
      <c r="N44" s="102"/>
    </row>
    <row r="45" spans="10:14">
      <c r="J45" s="102"/>
      <c r="K45" s="102"/>
      <c r="L45" s="102"/>
      <c r="M45" s="102"/>
      <c r="N45" s="102"/>
    </row>
    <row r="46" spans="10:14">
      <c r="J46" s="102"/>
      <c r="K46" s="102"/>
      <c r="L46" s="102"/>
      <c r="M46" s="102"/>
      <c r="N46" s="102"/>
    </row>
    <row r="47" spans="10:14">
      <c r="J47" s="102"/>
      <c r="K47" s="102"/>
      <c r="L47" s="102"/>
      <c r="M47" s="102"/>
      <c r="N47" s="102"/>
    </row>
    <row r="48" spans="10:14">
      <c r="J48" s="102"/>
      <c r="K48" s="102"/>
      <c r="L48" s="102"/>
      <c r="M48" s="102"/>
      <c r="N48" s="102"/>
    </row>
    <row r="49" spans="10:14">
      <c r="J49" s="102"/>
      <c r="K49" s="102"/>
      <c r="L49" s="102"/>
      <c r="M49" s="102"/>
      <c r="N49" s="102"/>
    </row>
    <row r="50" spans="10:14">
      <c r="J50" s="102"/>
      <c r="K50" s="102"/>
      <c r="L50" s="102"/>
      <c r="M50" s="102"/>
      <c r="N50" s="102"/>
    </row>
    <row r="51" spans="10:14">
      <c r="J51" s="102"/>
      <c r="K51" s="102"/>
      <c r="L51" s="102"/>
      <c r="M51" s="102"/>
      <c r="N51" s="102"/>
    </row>
    <row r="52" spans="10:14">
      <c r="J52" s="102"/>
      <c r="K52" s="102"/>
      <c r="L52" s="102"/>
      <c r="M52" s="102"/>
      <c r="N52" s="102"/>
    </row>
    <row r="53" spans="10:14">
      <c r="J53" s="102"/>
      <c r="K53" s="102"/>
      <c r="L53" s="102"/>
      <c r="M53" s="102"/>
      <c r="N53" s="102"/>
    </row>
    <row r="54" spans="10:14">
      <c r="J54" s="102"/>
      <c r="K54" s="102"/>
      <c r="L54" s="102"/>
      <c r="M54" s="102"/>
      <c r="N54" s="102"/>
    </row>
    <row r="55" spans="10:14">
      <c r="J55" s="102"/>
      <c r="K55" s="102"/>
      <c r="L55" s="102"/>
      <c r="M55" s="102"/>
      <c r="N55" s="102"/>
    </row>
    <row r="56" spans="10:14">
      <c r="J56" s="102"/>
      <c r="K56" s="102"/>
      <c r="L56" s="102"/>
      <c r="M56" s="102"/>
      <c r="N56" s="102"/>
    </row>
    <row r="57" spans="10:14">
      <c r="J57" s="102"/>
      <c r="K57" s="102"/>
      <c r="L57" s="102"/>
      <c r="M57" s="102"/>
      <c r="N57" s="102"/>
    </row>
    <row r="58" spans="10:14">
      <c r="J58" s="102"/>
      <c r="K58" s="102"/>
      <c r="L58" s="102"/>
      <c r="M58" s="102"/>
      <c r="N58" s="102"/>
    </row>
    <row r="59" spans="10:14">
      <c r="J59" s="102"/>
      <c r="K59" s="102"/>
      <c r="L59" s="102"/>
      <c r="M59" s="102"/>
      <c r="N59" s="102"/>
    </row>
    <row r="60" spans="10:14">
      <c r="J60" s="102"/>
      <c r="K60" s="102"/>
      <c r="L60" s="102"/>
      <c r="M60" s="102"/>
      <c r="N60" s="102"/>
    </row>
    <row r="61" spans="10:14">
      <c r="J61" s="102"/>
      <c r="K61" s="102"/>
      <c r="L61" s="102"/>
      <c r="M61" s="102"/>
      <c r="N61" s="102"/>
    </row>
    <row r="62" spans="10:14">
      <c r="J62" s="102"/>
      <c r="K62" s="102"/>
      <c r="L62" s="102"/>
      <c r="M62" s="102"/>
      <c r="N62" s="102"/>
    </row>
    <row r="63" spans="10:14">
      <c r="J63" s="102"/>
      <c r="K63" s="102"/>
      <c r="L63" s="102"/>
      <c r="M63" s="102"/>
      <c r="N63" s="102"/>
    </row>
    <row r="64" spans="10:14">
      <c r="J64" s="102"/>
      <c r="K64" s="102"/>
      <c r="L64" s="102"/>
      <c r="M64" s="102"/>
      <c r="N64" s="102"/>
    </row>
    <row r="65" spans="10:14">
      <c r="J65" s="102"/>
      <c r="K65" s="102"/>
      <c r="L65" s="102"/>
      <c r="M65" s="102"/>
      <c r="N65" s="102"/>
    </row>
    <row r="66" spans="10:14">
      <c r="J66" s="102"/>
      <c r="K66" s="102"/>
      <c r="L66" s="102"/>
      <c r="M66" s="102"/>
      <c r="N66" s="102"/>
    </row>
    <row r="67" spans="10:14">
      <c r="J67" s="102"/>
      <c r="K67" s="102"/>
      <c r="L67" s="102"/>
      <c r="M67" s="102"/>
      <c r="N67" s="102"/>
    </row>
    <row r="68" spans="10:14">
      <c r="J68" s="102"/>
      <c r="K68" s="102"/>
      <c r="L68" s="102"/>
      <c r="M68" s="102"/>
      <c r="N68" s="102"/>
    </row>
    <row r="69" spans="10:14">
      <c r="J69" s="102"/>
      <c r="K69" s="102"/>
      <c r="L69" s="102"/>
      <c r="M69" s="102"/>
      <c r="N69" s="102"/>
    </row>
    <row r="70" spans="10:14">
      <c r="J70" s="102"/>
      <c r="K70" s="102"/>
      <c r="L70" s="102"/>
      <c r="M70" s="102"/>
      <c r="N70" s="102"/>
    </row>
    <row r="71" spans="10:14">
      <c r="J71" s="102"/>
      <c r="K71" s="102"/>
      <c r="L71" s="102"/>
      <c r="M71" s="102"/>
      <c r="N71" s="102"/>
    </row>
    <row r="72" spans="10:14">
      <c r="J72" s="102"/>
      <c r="K72" s="102"/>
      <c r="L72" s="102"/>
      <c r="M72" s="102"/>
      <c r="N72" s="102"/>
    </row>
    <row r="73" spans="10:14">
      <c r="J73" s="102"/>
      <c r="K73" s="102"/>
      <c r="L73" s="102"/>
      <c r="M73" s="102"/>
      <c r="N73" s="102"/>
    </row>
    <row r="74" spans="10:14">
      <c r="J74" s="102"/>
      <c r="K74" s="102"/>
      <c r="L74" s="102"/>
      <c r="M74" s="102"/>
      <c r="N74" s="102"/>
    </row>
  </sheetData>
  <sheetProtection algorithmName="SHA-512" hashValue="B6IbALNKSvgET4utmqMOaV1u7WETW3KK+tnrBQq2+7qTHSkYIDWh2Sce8gsAJNBoaLc8Dyxx+EapTdY+aOUY5g==" saltValue="Hk3PaDDLGOALSnXcr70Gsw==" spinCount="100000" sheet="1" objects="1" scenarios="1"/>
  <mergeCells count="21">
    <mergeCell ref="J10:N74"/>
    <mergeCell ref="C16:D16"/>
    <mergeCell ref="A1:E1"/>
    <mergeCell ref="B3:E3"/>
    <mergeCell ref="B6:E6"/>
    <mergeCell ref="B7:E7"/>
    <mergeCell ref="C9:D9"/>
    <mergeCell ref="B5:E5"/>
    <mergeCell ref="B4:E4"/>
    <mergeCell ref="C10:D10"/>
    <mergeCell ref="C11:D11"/>
    <mergeCell ref="C12:D12"/>
    <mergeCell ref="C13:D13"/>
    <mergeCell ref="A28:H28"/>
    <mergeCell ref="A22:E25"/>
    <mergeCell ref="F13:H17"/>
    <mergeCell ref="F18:H21"/>
    <mergeCell ref="F22:H25"/>
    <mergeCell ref="C14:D14"/>
    <mergeCell ref="C15:D15"/>
    <mergeCell ref="A18:E21"/>
  </mergeCells>
  <pageMargins left="0.75" right="0.75" top="1" bottom="1" header="0.5" footer="0.5"/>
  <pageSetup paperSize="9" scale="94" orientation="landscape" verticalDpi="0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D1C02D733FDC054E8EC58A72F81BC522" ma:contentTypeVersion="13" ma:contentTypeDescription="Crée un document." ma:contentTypeScope="" ma:versionID="516975052891178dcc519c9b1b334fcf">
  <xsd:schema xmlns:xsd="http://www.w3.org/2001/XMLSchema" xmlns:xs="http://www.w3.org/2001/XMLSchema" xmlns:p="http://schemas.microsoft.com/office/2006/metadata/properties" xmlns:ns2="c73a786c-d07d-408a-b7bc-6baf44d7c029" xmlns:ns3="f423acf4-bba7-4026-afcb-eb942763be56" targetNamespace="http://schemas.microsoft.com/office/2006/metadata/properties" ma:root="true" ma:fieldsID="b64308b309283b2f084906120a61869e" ns2:_="" ns3:_="">
    <xsd:import namespace="c73a786c-d07d-408a-b7bc-6baf44d7c029"/>
    <xsd:import namespace="f423acf4-bba7-4026-afcb-eb942763be56"/>
    <xsd:element name="properties">
      <xsd:complexType>
        <xsd:sequence>
          <xsd:element name="documentManagement">
            <xsd:complexType>
              <xsd:all>
                <xsd:element ref="ns2:Type_x0020_de_x0020_document" minOccurs="0"/>
                <xsd:element ref="ns2:Date_x0020_du_x0020_document" minOccurs="0"/>
                <xsd:element ref="ns2:MediaServiceMetadata" minOccurs="0"/>
                <xsd:element ref="ns2:MediaServiceFastMetadata" minOccurs="0"/>
                <xsd:element ref="ns2:lcf76f155ced4ddcb4097134ff3c332f" minOccurs="0"/>
                <xsd:element ref="ns3:TaxCatchAll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2:MediaLengthInSeconds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73a786c-d07d-408a-b7bc-6baf44d7c029" elementFormDefault="qualified">
    <xsd:import namespace="http://schemas.microsoft.com/office/2006/documentManagement/types"/>
    <xsd:import namespace="http://schemas.microsoft.com/office/infopath/2007/PartnerControls"/>
    <xsd:element name="Type_x0020_de_x0020_document" ma:index="8" nillable="true" ma:displayName="Type de document" ma:internalName="Type_x0020_de_x0020_document">
      <xsd:simpleType>
        <xsd:restriction base="dms:Text">
          <xsd:maxLength value="255"/>
        </xsd:restriction>
      </xsd:simpleType>
    </xsd:element>
    <xsd:element name="Date_x0020_du_x0020_document" ma:index="9" nillable="true" ma:displayName="Date du document" ma:format="DateOnly" ma:internalName="Date_x0020_du_x0020_document">
      <xsd:simpleType>
        <xsd:restriction base="dms:DateTime"/>
      </xsd:simpleType>
    </xsd:element>
    <xsd:element name="MediaServiceMetadata" ma:index="10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1" nillable="true" ma:displayName="MediaServiceFastMetadata" ma:hidden="true" ma:internalName="MediaServiceFastMetadata" ma:readOnly="true">
      <xsd:simpleType>
        <xsd:restriction base="dms:Note"/>
      </xsd:simpleType>
    </xsd:element>
    <xsd:element name="lcf76f155ced4ddcb4097134ff3c332f" ma:index="13" nillable="true" ma:taxonomy="true" ma:internalName="lcf76f155ced4ddcb4097134ff3c332f" ma:taxonomyFieldName="MediaServiceImageTags" ma:displayName="Balises d’images" ma:readOnly="false" ma:fieldId="{5cf76f15-5ced-4ddc-b409-7134ff3c332f}" ma:taxonomyMulti="true" ma:sspId="2d6bbf82-059b-4f28-9a20-fb972382e10c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7" nillable="true" ma:displayName="MediaServiceDateTaken" ma:hidden="true" ma:internalName="MediaServiceDateTaken" ma:readOnly="true">
      <xsd:simpleType>
        <xsd:restriction base="dms:Text"/>
      </xsd:simpleType>
    </xsd:element>
    <xsd:element name="MediaLengthInSeconds" ma:index="18" nillable="true" ma:displayName="MediaLengthInSeconds" ma:hidden="true" ma:internalName="MediaLengthInSeconds" ma:readOnly="true">
      <xsd:simpleType>
        <xsd:restriction base="dms:Unknown"/>
      </xsd:simpleType>
    </xsd:element>
    <xsd:element name="MediaServiceObjectDetectorVersions" ma:index="19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0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423acf4-bba7-4026-afcb-eb942763be56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705bf282-196a-43ca-b04c-5be2e8650350}" ma:internalName="TaxCatchAll" ma:showField="CatchAllData" ma:web="f423acf4-bba7-4026-afcb-eb942763be56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ype de contenu"/>
        <xsd:element ref="dc:title" minOccurs="0" maxOccurs="1" ma:index="4" ma:displayName="Titr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c73a786c-d07d-408a-b7bc-6baf44d7c029">
      <Terms xmlns="http://schemas.microsoft.com/office/infopath/2007/PartnerControls"/>
    </lcf76f155ced4ddcb4097134ff3c332f>
    <TaxCatchAll xmlns="f423acf4-bba7-4026-afcb-eb942763be56" xsi:nil="true"/>
    <Date_x0020_du_x0020_document xmlns="c73a786c-d07d-408a-b7bc-6baf44d7c029" xsi:nil="true"/>
    <Type_x0020_de_x0020_document xmlns="c73a786c-d07d-408a-b7bc-6baf44d7c029" xsi:nil="true"/>
  </documentManagement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71176430-C19D-4F00-A5BA-C9C43988E2F7}"/>
</file>

<file path=customXml/itemProps2.xml><?xml version="1.0" encoding="utf-8"?>
<ds:datastoreItem xmlns:ds="http://schemas.openxmlformats.org/officeDocument/2006/customXml" ds:itemID="{837A6A15-6EF2-453A-A5A2-208ADC61AB3C}"/>
</file>

<file path=customXml/itemProps3.xml><?xml version="1.0" encoding="utf-8"?>
<ds:datastoreItem xmlns:ds="http://schemas.openxmlformats.org/officeDocument/2006/customXml" ds:itemID="{260FA8FA-B938-4C2F-8BB0-A057AAD8D1D3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cp:keywords/>
  <dc:description/>
  <cp:lastModifiedBy>GRIESSEN Florence</cp:lastModifiedBy>
  <cp:revision/>
  <dcterms:created xsi:type="dcterms:W3CDTF">2026-01-26T07:30:38Z</dcterms:created>
  <dcterms:modified xsi:type="dcterms:W3CDTF">2026-03-02T13:26:48Z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0x010100D1C02D733FDC054E8EC58A72F81BC522</vt:lpwstr>
  </property>
  <property fmtid="{D5CDD505-2E9C-101B-9397-08002B2CF9AE}" pid="3" name="MediaServiceImageTags">
    <vt:lpwstr/>
  </property>
</Properties>
</file>